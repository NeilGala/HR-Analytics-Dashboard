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03022d97d571dfd/Desktop/Projects/Analyst/HR/"/>
    </mc:Choice>
  </mc:AlternateContent>
  <xr:revisionPtr revIDLastSave="565" documentId="13_ncr:1_{1914171A-D37B-413D-88F4-C22241209A2D}" xr6:coauthVersionLast="47" xr6:coauthVersionMax="47" xr10:uidLastSave="{015C8EAB-B864-40FA-95AE-951CF3DEA543}"/>
  <bookViews>
    <workbookView xWindow="-108" yWindow="-108" windowWidth="23256" windowHeight="13896" activeTab="8" xr2:uid="{039806AC-1E90-4C41-A4F4-78E21A9548D0}"/>
  </bookViews>
  <sheets>
    <sheet name="Raw" sheetId="1" r:id="rId1"/>
    <sheet name="KPI" sheetId="2" r:id="rId2"/>
    <sheet name="Gender Split" sheetId="4" r:id="rId3"/>
    <sheet name="Qualification" sheetId="5" r:id="rId4"/>
    <sheet name="Job Role" sheetId="6" r:id="rId5"/>
    <sheet name="Department" sheetId="7" r:id="rId6"/>
    <sheet name="Age" sheetId="8" r:id="rId7"/>
    <sheet name="Marriage" sheetId="9" r:id="rId8"/>
    <sheet name="Dashboard" sheetId="10" r:id="rId9"/>
  </sheets>
  <definedNames>
    <definedName name="_xlchart.v1.0" hidden="1">'Job Role'!$D$4:$D$12</definedName>
    <definedName name="_xlchart.v1.1" hidden="1">'Job Role'!$E$4:$E$12</definedName>
    <definedName name="_xlchart.v1.6" hidden="1">'Job Role'!$D$4:$D$12</definedName>
    <definedName name="_xlchart.v1.7" hidden="1">'Job Role'!$E$4:$E$12</definedName>
    <definedName name="_xlchart.v2.2" hidden="1">Marriage!$D$4:$D$6</definedName>
    <definedName name="_xlchart.v2.3" hidden="1">Marriage!$E$4:$E$6</definedName>
    <definedName name="_xlchart.v2.4" hidden="1">Marriage!$D$4:$D$6</definedName>
    <definedName name="_xlchart.v2.5" hidden="1">Marriage!$E$4:$E$6</definedName>
    <definedName name="Slicer_Department">#N/A</definedName>
    <definedName name="Slicer_Education_Field">#N/A</definedName>
    <definedName name="Slicer_Gen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10" l="1"/>
  <c r="P13" i="10"/>
  <c r="P7" i="10"/>
  <c r="E6" i="9"/>
  <c r="E5" i="9"/>
  <c r="E4" i="9"/>
  <c r="E12" i="6"/>
  <c r="E5" i="6"/>
  <c r="E6" i="6"/>
  <c r="E7" i="6"/>
  <c r="E8" i="6"/>
  <c r="E9" i="6"/>
  <c r="E10" i="6"/>
  <c r="E11" i="6"/>
  <c r="E4" i="6"/>
  <c r="C5" i="4"/>
  <c r="C4" i="4"/>
  <c r="C8" i="2"/>
  <c r="B8" i="2"/>
  <c r="E8" i="2" s="1"/>
  <c r="A8" i="2"/>
  <c r="D8" i="2" s="1"/>
  <c r="P36" i="10" l="1"/>
  <c r="P28" i="10"/>
</calcChain>
</file>

<file path=xl/sharedStrings.xml><?xml version="1.0" encoding="utf-8"?>
<sst xmlns="http://schemas.openxmlformats.org/spreadsheetml/2006/main" count="19232" uniqueCount="1569">
  <si>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</si>
  <si>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</si>
  <si>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</si>
  <si>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</si>
  <si>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</si>
  <si>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</si>
  <si>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</si>
  <si>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</si>
  <si>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</si>
  <si>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</si>
  <si>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</si>
  <si>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</si>
  <si>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</si>
  <si>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</si>
  <si>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</si>
  <si>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</si>
  <si>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</si>
  <si>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</si>
  <si>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</si>
  <si>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</si>
  <si>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</si>
  <si>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</si>
  <si>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</si>
  <si>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</si>
  <si>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</si>
  <si>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</si>
  <si>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</si>
  <si>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</si>
  <si>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</si>
  <si>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</si>
  <si>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</si>
  <si>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</si>
  <si>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</si>
  <si>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</si>
  <si>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</si>
  <si>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</si>
  <si>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</si>
  <si>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</si>
  <si>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</si>
  <si>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</si>
  <si>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</si>
  <si>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</si>
  <si>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</si>
  <si>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</si>
  <si>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</si>
  <si>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</si>
  <si>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</si>
  <si>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</si>
  <si>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</si>
  <si>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</si>
  <si>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</si>
  <si>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</si>
  <si>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</si>
  <si>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</si>
  <si>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</si>
  <si>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</si>
  <si>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</si>
  <si>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</si>
  <si>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</si>
  <si>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</si>
  <si>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</si>
  <si>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</si>
  <si>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</si>
  <si>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</si>
  <si>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</si>
  <si>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</si>
  <si>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</si>
  <si>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</si>
  <si>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</si>
  <si>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</si>
  <si>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</si>
  <si>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</si>
  <si>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</si>
  <si>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</si>
  <si>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</si>
  <si>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</si>
  <si>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</si>
  <si>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</si>
  <si>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</si>
  <si>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</si>
  <si>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</si>
  <si>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</si>
  <si>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</si>
  <si>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</si>
  <si>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</si>
  <si>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</si>
  <si>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</si>
  <si>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</si>
  <si>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</si>
  <si>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</si>
  <si>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</si>
  <si>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</si>
  <si>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</si>
  <si>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</si>
  <si>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</si>
  <si>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</si>
  <si>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</si>
  <si>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</si>
  <si>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</si>
  <si>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</si>
  <si>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</si>
  <si>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</si>
  <si>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</si>
  <si>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</si>
  <si>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</si>
  <si>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</si>
  <si>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</si>
  <si>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</si>
  <si>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</si>
  <si>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</si>
  <si>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</si>
  <si>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</si>
  <si>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</si>
  <si>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</si>
  <si>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</si>
  <si>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</si>
  <si>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</si>
  <si>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</si>
  <si>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</si>
  <si>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</si>
  <si>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</si>
  <si>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</si>
  <si>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</si>
  <si>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</si>
  <si>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</si>
  <si>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</si>
  <si>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</si>
  <si>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</si>
  <si>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</si>
  <si>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</si>
  <si>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</si>
  <si>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</si>
  <si>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</si>
  <si>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</si>
  <si>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</si>
  <si>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</si>
  <si>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</si>
  <si>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</si>
  <si>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</si>
  <si>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</si>
  <si>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</si>
  <si>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</si>
  <si>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</si>
  <si>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</si>
  <si>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</si>
  <si>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</si>
  <si>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</si>
  <si>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</si>
  <si>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</si>
  <si>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</si>
  <si>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</si>
  <si>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</si>
  <si>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</si>
  <si>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</si>
  <si>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</si>
  <si>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</si>
  <si>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</si>
  <si>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</si>
  <si>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</si>
  <si>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</si>
  <si>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</si>
  <si>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</si>
  <si>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</si>
  <si>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</si>
  <si>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</si>
  <si>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</si>
  <si>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</si>
  <si>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</si>
  <si>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</si>
  <si>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</si>
  <si>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</si>
  <si>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</si>
  <si>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</si>
  <si>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</si>
  <si>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</si>
  <si>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</si>
  <si>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</si>
  <si>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</si>
  <si>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</si>
  <si>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</si>
  <si>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</si>
  <si>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</si>
  <si>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</si>
  <si>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</si>
  <si>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</si>
  <si>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</si>
  <si>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</si>
  <si>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</si>
  <si>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</si>
  <si>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</si>
  <si>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</si>
  <si>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</si>
  <si>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</si>
  <si>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</si>
  <si>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</si>
  <si>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</si>
  <si>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</si>
  <si>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</si>
  <si>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</si>
  <si>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</si>
  <si>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</si>
  <si>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</si>
  <si>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</si>
  <si>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</si>
  <si>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</si>
  <si>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</si>
  <si>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</si>
  <si>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</si>
  <si>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</si>
  <si>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</si>
  <si>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</si>
  <si>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</si>
  <si>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</si>
  <si>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</si>
  <si>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</si>
  <si>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</si>
  <si>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</si>
  <si>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</si>
  <si>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</si>
  <si>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</si>
  <si>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</si>
  <si>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</si>
  <si>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</si>
  <si>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</si>
  <si>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</si>
  <si>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</si>
  <si>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</si>
  <si>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</si>
  <si>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</si>
  <si>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</si>
  <si>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</si>
  <si>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</si>
  <si>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</si>
  <si>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</si>
  <si>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</si>
  <si>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</si>
  <si>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</si>
  <si>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</si>
  <si>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</si>
  <si>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</si>
  <si>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</si>
  <si>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</si>
  <si>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</si>
  <si>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</si>
  <si>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</si>
  <si>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</si>
  <si>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</si>
  <si>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</si>
  <si>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</si>
  <si>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</si>
  <si>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</si>
  <si>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</si>
  <si>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</si>
  <si>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</si>
  <si>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</si>
  <si>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</si>
  <si>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</si>
  <si>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</si>
  <si>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</si>
  <si>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</si>
  <si>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</si>
  <si>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</si>
  <si>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</si>
  <si>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</si>
  <si>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</si>
  <si>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</si>
  <si>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</si>
  <si>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</si>
  <si>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</si>
  <si>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</si>
  <si>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</si>
  <si>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</si>
  <si>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</si>
  <si>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</si>
  <si>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</si>
  <si>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</si>
  <si>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</si>
  <si>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</si>
  <si>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</si>
  <si>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</si>
  <si>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</si>
  <si>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</si>
  <si>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</si>
  <si>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</si>
  <si>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</si>
  <si>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</si>
  <si>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</si>
  <si>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</si>
  <si>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</si>
  <si>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</si>
  <si>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</si>
  <si>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</si>
  <si>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</si>
  <si>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</si>
  <si>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</si>
  <si>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</si>
  <si>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</si>
  <si>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</si>
  <si>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</si>
  <si>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</si>
  <si>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</si>
  <si>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</si>
  <si>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</si>
  <si>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</si>
  <si>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</si>
  <si>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</si>
  <si>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</si>
  <si>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</si>
  <si>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</si>
  <si>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</si>
  <si>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</si>
  <si>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</si>
  <si>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</si>
  <si>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</si>
  <si>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</si>
  <si>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</si>
  <si>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</si>
  <si>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</si>
  <si>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</si>
  <si>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</si>
  <si>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</si>
  <si>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</si>
  <si>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</si>
  <si>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</si>
  <si>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</si>
  <si>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</si>
  <si>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</si>
  <si>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</si>
  <si>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</si>
  <si>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</si>
  <si>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</si>
  <si>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</si>
  <si>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</si>
  <si>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</si>
  <si>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</si>
  <si>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</si>
  <si>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</si>
  <si>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</si>
  <si>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</si>
  <si>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</si>
  <si>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</si>
  <si>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</si>
  <si>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</si>
  <si>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</si>
  <si>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</si>
  <si>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</si>
  <si>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</si>
  <si>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</si>
  <si>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</si>
  <si>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</si>
  <si>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</si>
  <si>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</si>
  <si>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</si>
  <si>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</si>
  <si>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</si>
  <si>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</si>
  <si>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</si>
  <si>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</si>
  <si>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</si>
  <si>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</si>
  <si>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</si>
  <si>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</si>
  <si>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</si>
  <si>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</si>
  <si>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</si>
  <si>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</si>
  <si>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</si>
  <si>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</si>
  <si>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</si>
  <si>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</si>
  <si>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</si>
  <si>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</si>
  <si>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</si>
  <si>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</si>
  <si>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</si>
  <si>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</si>
  <si>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</si>
  <si>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</si>
  <si>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</si>
  <si>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</si>
  <si>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</si>
  <si>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</si>
  <si>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</si>
  <si>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</si>
  <si>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</si>
  <si>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</si>
  <si>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</si>
  <si>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</si>
  <si>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</si>
  <si>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</si>
  <si>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</si>
  <si>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</si>
  <si>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</si>
  <si>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</si>
  <si>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</si>
  <si>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</si>
  <si>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</si>
  <si>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</si>
  <si>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</si>
  <si>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</si>
  <si>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</si>
  <si>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</si>
  <si>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</si>
  <si>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</si>
  <si>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</si>
  <si>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</si>
  <si>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</si>
  <si>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</si>
  <si>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</si>
  <si>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</si>
  <si>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</si>
  <si>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</si>
  <si>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</si>
  <si>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</si>
  <si>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</si>
  <si>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</si>
  <si>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</si>
  <si>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</si>
  <si>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</si>
  <si>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</si>
  <si>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</si>
  <si>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</si>
  <si>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</si>
  <si>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</si>
  <si>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</si>
  <si>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</si>
  <si>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</si>
  <si>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</si>
  <si>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</si>
  <si>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</si>
  <si>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</si>
  <si>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</si>
  <si>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</si>
  <si>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</si>
  <si>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</si>
  <si>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</si>
  <si>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</si>
  <si>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</si>
  <si>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</si>
  <si>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</si>
  <si>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</si>
  <si>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</si>
  <si>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</si>
  <si>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</si>
  <si>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</si>
  <si>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</si>
  <si>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</si>
  <si>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</si>
  <si>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</si>
  <si>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</si>
  <si>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</si>
  <si>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</si>
  <si>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</si>
  <si>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</si>
  <si>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</si>
  <si>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</si>
  <si>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</si>
  <si>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</si>
  <si>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</si>
  <si>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</si>
  <si>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</si>
  <si>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</si>
  <si>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</si>
  <si>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</si>
  <si>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</si>
  <si>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</si>
  <si>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</si>
  <si>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</si>
  <si>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</si>
  <si>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</si>
  <si>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</si>
  <si>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</si>
  <si>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</si>
  <si>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</si>
  <si>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</si>
  <si>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</si>
  <si>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</si>
  <si>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</si>
  <si>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</si>
  <si>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</si>
  <si>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</si>
  <si>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</si>
  <si>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</si>
  <si>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</si>
  <si>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</si>
  <si>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</si>
  <si>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</si>
  <si>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</si>
  <si>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</si>
  <si>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</si>
  <si>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</si>
  <si>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</si>
  <si>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</si>
  <si>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</si>
  <si>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</si>
  <si>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</si>
  <si>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</si>
  <si>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</si>
  <si>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</si>
  <si>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</si>
  <si>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</si>
  <si>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</si>
  <si>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</si>
  <si>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</si>
  <si>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</si>
  <si>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</si>
  <si>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</si>
  <si>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</si>
  <si>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</si>
  <si>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</si>
  <si>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</si>
  <si>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</si>
  <si>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</si>
  <si>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</si>
  <si>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</si>
  <si>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</si>
  <si>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</si>
  <si>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</si>
  <si>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</si>
  <si>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</si>
  <si>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</si>
  <si>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</si>
  <si>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</si>
  <si>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</si>
  <si>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</si>
  <si>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</si>
  <si>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</si>
  <si>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</si>
  <si>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</si>
  <si>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</si>
  <si>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</si>
  <si>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</si>
  <si>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</si>
  <si>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</si>
  <si>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</si>
  <si>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</si>
  <si>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</si>
  <si>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</si>
  <si>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</si>
  <si>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</si>
  <si>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</si>
  <si>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</si>
  <si>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</si>
  <si>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</si>
  <si>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</si>
  <si>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</si>
  <si>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</si>
  <si>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</si>
  <si>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</si>
  <si>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</si>
  <si>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</si>
  <si>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</si>
  <si>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</si>
  <si>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</si>
  <si>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</si>
  <si>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</si>
  <si>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</si>
  <si>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</si>
  <si>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</si>
  <si>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</si>
  <si>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</si>
  <si>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</si>
  <si>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</si>
  <si>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</si>
  <si>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</si>
  <si>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</si>
  <si>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</si>
  <si>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</si>
  <si>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</si>
  <si>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</si>
  <si>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</si>
  <si>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</si>
  <si>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</si>
  <si>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</si>
  <si>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</si>
  <si>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</si>
  <si>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</si>
  <si>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</si>
  <si>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</si>
  <si>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</si>
  <si>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</si>
  <si>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</si>
  <si>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</si>
  <si>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</si>
  <si>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</si>
  <si>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</si>
  <si>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</si>
  <si>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</si>
  <si>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</si>
  <si>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</si>
  <si>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</si>
  <si>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</si>
  <si>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</si>
  <si>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</si>
  <si>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</si>
  <si>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</si>
  <si>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</si>
  <si>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</si>
  <si>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</si>
  <si>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</si>
  <si>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</si>
  <si>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</si>
  <si>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</si>
  <si>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</si>
  <si>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</si>
  <si>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</si>
  <si>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</si>
  <si>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</si>
  <si>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</si>
  <si>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</si>
  <si>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</si>
  <si>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</si>
  <si>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</si>
  <si>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</si>
  <si>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</si>
  <si>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</si>
  <si>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</si>
  <si>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</si>
  <si>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</si>
  <si>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</si>
  <si>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</si>
  <si>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</si>
  <si>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</si>
  <si>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</si>
  <si>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</si>
  <si>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</si>
  <si>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</si>
  <si>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</si>
  <si>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</si>
  <si>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</si>
  <si>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</si>
  <si>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</si>
  <si>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</si>
  <si>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</si>
  <si>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</si>
  <si>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</si>
  <si>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</si>
  <si>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</si>
  <si>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</si>
  <si>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</si>
  <si>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</si>
  <si>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</si>
  <si>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</si>
  <si>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</si>
  <si>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</si>
  <si>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</si>
  <si>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</si>
  <si>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</si>
  <si>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</si>
  <si>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</si>
  <si>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</si>
  <si>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</si>
  <si>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</si>
  <si>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</si>
  <si>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</si>
  <si>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</si>
  <si>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</si>
  <si>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</si>
  <si>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</si>
  <si>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</si>
  <si>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</si>
  <si>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</si>
  <si>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</si>
  <si>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</si>
  <si>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</si>
  <si>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</si>
  <si>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</si>
  <si>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</si>
  <si>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</si>
  <si>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</si>
  <si>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</si>
  <si>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</si>
  <si>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</si>
  <si>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</si>
  <si>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</si>
  <si>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</si>
  <si>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</si>
  <si>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</si>
  <si>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</si>
  <si>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</si>
  <si>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</si>
  <si>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</si>
  <si>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</si>
  <si>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</si>
  <si>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</si>
  <si>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</si>
  <si>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</si>
  <si>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</si>
  <si>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</si>
  <si>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</si>
  <si>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</si>
  <si>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</si>
  <si>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</si>
  <si>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</si>
  <si>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</si>
  <si>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</si>
  <si>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</si>
  <si>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</si>
  <si>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</si>
  <si>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</si>
  <si>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</si>
  <si>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</si>
  <si>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</si>
  <si>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</si>
  <si>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</si>
  <si>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</si>
  <si>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</si>
  <si>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</si>
  <si>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</si>
  <si>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</si>
  <si>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</si>
  <si>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</si>
  <si>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</si>
  <si>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</si>
  <si>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</si>
  <si>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</si>
  <si>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</si>
  <si>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</si>
  <si>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</si>
  <si>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</si>
  <si>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</si>
  <si>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</si>
  <si>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</si>
  <si>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</si>
  <si>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</si>
  <si>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</si>
  <si>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</si>
  <si>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</si>
  <si>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</si>
  <si>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</si>
  <si>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</si>
  <si>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</si>
  <si>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</si>
  <si>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</si>
  <si>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</si>
  <si>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</si>
  <si>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</si>
  <si>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</si>
  <si>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</si>
  <si>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</si>
  <si>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</si>
  <si>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</si>
  <si>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</si>
  <si>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</si>
  <si>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</si>
  <si>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</si>
  <si>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</si>
  <si>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</si>
  <si>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</si>
  <si>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</si>
  <si>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</si>
  <si>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</si>
  <si>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</si>
  <si>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</si>
  <si>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</si>
  <si>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</si>
  <si>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</si>
  <si>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</si>
  <si>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</si>
  <si>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</si>
  <si>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</si>
  <si>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</si>
  <si>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</si>
  <si>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</si>
  <si>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</si>
  <si>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</si>
  <si>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</si>
  <si>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</si>
  <si>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</si>
  <si>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</si>
  <si>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</si>
  <si>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</si>
  <si>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</si>
  <si>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</si>
  <si>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</si>
  <si>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</si>
  <si>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</si>
  <si>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</si>
  <si>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</si>
  <si>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</si>
  <si>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</si>
  <si>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</si>
  <si>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</si>
  <si>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</si>
  <si>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</si>
  <si>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</si>
  <si>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</si>
  <si>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</si>
  <si>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</si>
  <si>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</si>
  <si>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</si>
  <si>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</si>
  <si>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</si>
  <si>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</si>
  <si>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</si>
  <si>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</si>
  <si>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</si>
  <si>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</si>
  <si>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</si>
  <si>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</si>
  <si>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</si>
  <si>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</si>
  <si>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</si>
  <si>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</si>
  <si>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</si>
  <si>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</si>
  <si>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</si>
  <si>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</si>
  <si>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</si>
  <si>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</si>
  <si>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</si>
  <si>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</si>
  <si>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</si>
  <si>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</si>
  <si>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</si>
  <si>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</si>
  <si>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</si>
  <si>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</si>
  <si>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</si>
  <si>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</si>
  <si>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</si>
  <si>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</si>
  <si>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</si>
  <si>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</si>
  <si>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</si>
  <si>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</si>
  <si>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</si>
  <si>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</si>
  <si>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</si>
  <si>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</si>
  <si>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</si>
  <si>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</si>
  <si>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</si>
  <si>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</si>
  <si>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</si>
  <si>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</si>
  <si>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</si>
  <si>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</si>
  <si>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</si>
  <si>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</si>
  <si>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</si>
  <si>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</si>
  <si>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</si>
  <si>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</si>
  <si>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</si>
  <si>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</si>
  <si>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</si>
  <si>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</si>
  <si>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</si>
  <si>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</si>
  <si>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</si>
  <si>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</si>
  <si>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</si>
  <si>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</si>
  <si>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</si>
  <si>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</si>
  <si>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</si>
  <si>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</si>
  <si>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</si>
  <si>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</si>
  <si>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</si>
  <si>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</si>
  <si>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</si>
  <si>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</si>
  <si>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</si>
  <si>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</si>
  <si>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</si>
  <si>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</si>
  <si>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</si>
  <si>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</si>
  <si>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</si>
  <si>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</si>
  <si>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</si>
  <si>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</si>
  <si>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</si>
  <si>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</si>
  <si>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</si>
  <si>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</si>
  <si>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</si>
  <si>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</si>
  <si>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</si>
  <si>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</si>
  <si>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</si>
  <si>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</si>
  <si>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</si>
  <si>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</si>
  <si>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</si>
  <si>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</si>
  <si>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</si>
  <si>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</si>
  <si>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</si>
  <si>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</si>
  <si>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</si>
  <si>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</si>
  <si>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</si>
  <si>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</si>
  <si>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</si>
  <si>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</si>
  <si>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</si>
  <si>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</si>
  <si>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</si>
  <si>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</si>
  <si>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</si>
  <si>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</si>
  <si>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</si>
  <si>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</si>
  <si>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</si>
  <si>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</si>
  <si>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</si>
  <si>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</si>
  <si>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</si>
  <si>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</si>
  <si>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</si>
  <si>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</si>
  <si>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</si>
  <si>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</si>
  <si>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</si>
  <si>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</si>
  <si>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</si>
  <si>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</si>
  <si>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</si>
  <si>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</si>
  <si>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</si>
  <si>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</si>
  <si>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</si>
  <si>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</si>
  <si>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</si>
  <si>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</si>
  <si>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</si>
  <si>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</si>
  <si>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</si>
  <si>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</si>
  <si>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</si>
  <si>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</si>
  <si>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</si>
  <si>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</si>
  <si>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</si>
  <si>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</si>
  <si>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</si>
  <si>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</si>
  <si>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</si>
  <si>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</si>
  <si>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</si>
  <si>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</si>
  <si>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</si>
  <si>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</si>
  <si>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</si>
  <si>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</si>
  <si>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</si>
  <si>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</si>
  <si>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</si>
  <si>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</si>
  <si>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</si>
  <si>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</si>
  <si>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</si>
  <si>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</si>
  <si>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</si>
  <si>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</si>
  <si>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</si>
  <si>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</si>
  <si>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</si>
  <si>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</si>
  <si>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</si>
  <si>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</si>
  <si>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</si>
  <si>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</si>
  <si>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</si>
  <si>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</si>
  <si>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</si>
  <si>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</si>
  <si>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</si>
  <si>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</si>
  <si>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</si>
  <si>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</si>
  <si>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</si>
  <si>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</si>
  <si>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</si>
  <si>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</si>
  <si>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</si>
  <si>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</si>
  <si>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</si>
  <si>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</si>
  <si>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</si>
  <si>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</si>
  <si>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</si>
  <si>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</si>
  <si>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</si>
  <si>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</si>
  <si>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</si>
  <si>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</si>
  <si>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</si>
  <si>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</si>
  <si>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</si>
  <si>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</si>
  <si>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</si>
  <si>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</si>
  <si>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</si>
  <si>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</si>
  <si>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</si>
  <si>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</si>
  <si>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</si>
  <si>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</si>
  <si>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</si>
  <si>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</si>
  <si>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</si>
  <si>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</si>
  <si>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</si>
  <si>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</si>
  <si>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</si>
  <si>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</si>
  <si>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</si>
  <si>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</si>
  <si>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</si>
  <si>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</si>
  <si>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</si>
  <si>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</si>
  <si>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</si>
  <si>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</si>
  <si>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</si>
  <si>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</si>
  <si>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</si>
  <si>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</si>
  <si>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</si>
  <si>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</si>
  <si>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</si>
  <si>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</si>
  <si>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</si>
  <si>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</si>
  <si>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</si>
  <si>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</si>
  <si>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</si>
  <si>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</si>
  <si>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</si>
  <si>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</si>
  <si>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</si>
  <si>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</si>
  <si>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</si>
  <si>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</si>
  <si>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</si>
  <si>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</si>
  <si>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</si>
  <si>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</si>
  <si>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</si>
  <si>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</si>
  <si>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</si>
  <si>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</si>
  <si>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</si>
  <si>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</si>
  <si>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</si>
  <si>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</si>
  <si>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</si>
  <si>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</si>
  <si>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</si>
  <si>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</si>
  <si>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</si>
  <si>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</si>
  <si>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</si>
  <si>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</si>
  <si>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</si>
  <si>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</si>
  <si>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</si>
  <si>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</si>
  <si>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</si>
  <si>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</si>
  <si>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</si>
  <si>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</si>
  <si>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</si>
  <si>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</si>
  <si>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</si>
  <si>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</si>
  <si>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</si>
  <si>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</si>
  <si>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</si>
  <si>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</si>
  <si>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</si>
  <si>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</si>
  <si>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</si>
  <si>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</si>
  <si>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</si>
  <si>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</si>
  <si>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</si>
  <si>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</si>
  <si>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</si>
  <si>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</si>
  <si>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</si>
  <si>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</si>
  <si>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</si>
  <si>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</si>
  <si>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</si>
  <si>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</si>
  <si>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</si>
  <si>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</si>
  <si>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</si>
  <si>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</si>
  <si>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</si>
  <si>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</si>
  <si>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</si>
  <si>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</si>
  <si>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</si>
  <si>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</si>
  <si>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</si>
  <si>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</si>
  <si>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</si>
  <si>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</si>
  <si>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</si>
  <si>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</si>
  <si>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</si>
  <si>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</si>
  <si>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</si>
  <si>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</si>
  <si>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</si>
  <si>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</si>
  <si>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</si>
  <si>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</si>
  <si>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</si>
  <si>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</si>
  <si>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</si>
  <si>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</si>
  <si>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</si>
  <si>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</si>
  <si>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</si>
  <si>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</si>
  <si>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</si>
  <si>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</si>
  <si>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</si>
  <si>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</si>
  <si>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</si>
  <si>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</si>
  <si>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</si>
  <si>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</si>
  <si>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</si>
  <si>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</si>
  <si>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</si>
  <si>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</si>
  <si>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</si>
  <si>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</si>
  <si>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</si>
  <si>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</si>
  <si>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</si>
  <si>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</si>
  <si>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</si>
  <si>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</si>
  <si>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</si>
  <si>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</si>
  <si>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</si>
  <si>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</si>
  <si>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</si>
  <si>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</si>
  <si>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</si>
  <si>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</si>
  <si>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</si>
  <si>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</si>
  <si>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</si>
  <si>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</si>
  <si>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</si>
  <si>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</si>
  <si>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</si>
  <si>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</si>
  <si>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</si>
  <si>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</si>
  <si>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</si>
  <si>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</si>
  <si>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</si>
  <si>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</si>
  <si>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</si>
  <si>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</si>
  <si>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</si>
  <si>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</si>
  <si>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</si>
  <si>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</si>
  <si>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</si>
  <si>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</si>
  <si>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</si>
  <si>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</si>
  <si>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</si>
  <si>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</si>
  <si>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</si>
  <si>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</si>
  <si>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</si>
  <si>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</si>
  <si>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</si>
  <si>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</si>
  <si>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</si>
  <si>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</si>
  <si>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</si>
  <si>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</si>
  <si>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</si>
  <si>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</si>
  <si>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</si>
  <si>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</si>
  <si>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</si>
  <si>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</si>
  <si>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</si>
  <si>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</si>
  <si>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</si>
  <si>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</si>
  <si>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</si>
  <si>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</si>
  <si>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</si>
  <si>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</si>
  <si>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</si>
  <si>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</si>
  <si>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</si>
  <si>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</si>
  <si>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</si>
  <si>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</si>
  <si>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</si>
  <si>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</si>
  <si>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</si>
  <si>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</si>
  <si>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</si>
  <si>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</si>
  <si>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</si>
  <si>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</si>
  <si>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</si>
  <si>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</si>
  <si>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</si>
  <si>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</si>
  <si>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</si>
  <si>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</si>
  <si>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</si>
  <si>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</si>
  <si>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</si>
  <si>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</si>
  <si>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</si>
  <si>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</si>
  <si>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</si>
  <si>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</si>
  <si>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</si>
  <si>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</si>
  <si>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</si>
  <si>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</si>
  <si>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</si>
  <si>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</si>
  <si>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</si>
  <si>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</si>
  <si>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</si>
  <si>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</si>
  <si>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</si>
  <si>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</si>
  <si>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</si>
  <si>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</si>
  <si>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</si>
  <si>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</si>
  <si>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</si>
  <si>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</si>
  <si>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</si>
  <si>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</si>
  <si>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</si>
  <si>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</si>
  <si>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</si>
  <si>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</si>
  <si>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</si>
  <si>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</si>
  <si>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</si>
  <si>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</si>
  <si>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</si>
  <si>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</si>
  <si>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</si>
  <si>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</si>
  <si>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</si>
  <si>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</si>
  <si>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</si>
  <si>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</si>
  <si>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</si>
  <si>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</si>
  <si>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</si>
  <si>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</si>
  <si>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</si>
  <si>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</si>
  <si>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</si>
  <si>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</si>
  <si>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</si>
  <si>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</si>
  <si>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</si>
  <si>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</si>
  <si>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</si>
  <si>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</si>
  <si>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</si>
  <si>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</si>
  <si>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</si>
  <si>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</si>
  <si>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</si>
  <si>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</si>
  <si>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</si>
  <si>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</si>
  <si>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</si>
  <si>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</si>
  <si>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</si>
  <si>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</si>
  <si>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</si>
  <si>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</si>
  <si>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</si>
  <si>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</si>
  <si>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</si>
  <si>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</si>
  <si>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</si>
  <si>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</si>
  <si>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</si>
  <si>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</si>
  <si>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</si>
  <si>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</si>
  <si>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</si>
  <si>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</si>
  <si>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</si>
  <si>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</si>
  <si>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</si>
  <si>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</si>
  <si>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</si>
  <si>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</si>
  <si>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</si>
  <si>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</si>
  <si>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</si>
  <si>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</si>
  <si>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</si>
  <si>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</si>
  <si>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</si>
  <si>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</si>
  <si>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</si>
  <si>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</si>
  <si>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</si>
  <si>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</si>
  <si>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</si>
  <si>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</si>
  <si>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</si>
  <si>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</si>
  <si>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</si>
  <si>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</si>
  <si>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</si>
  <si>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</si>
  <si>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</si>
  <si>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</si>
  <si>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</si>
  <si>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</si>
  <si>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</si>
  <si>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</si>
  <si>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</si>
  <si>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</si>
  <si>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</si>
  <si>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</si>
  <si>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</si>
  <si>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</si>
  <si>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</si>
  <si>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</si>
  <si>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</si>
  <si>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</si>
  <si>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</si>
  <si>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</si>
  <si>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</si>
  <si>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</si>
  <si>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</si>
  <si>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</si>
  <si>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</si>
  <si>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</si>
  <si>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</si>
  <si>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</si>
  <si>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</si>
  <si>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</si>
  <si>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</si>
  <si>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</si>
  <si>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</si>
  <si>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</si>
  <si>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</si>
  <si>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</si>
  <si>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</si>
  <si>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</si>
  <si>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</si>
  <si>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</si>
  <si>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</si>
  <si>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</si>
  <si>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</si>
  <si>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</si>
  <si>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</si>
  <si>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</si>
  <si>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</si>
  <si>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</si>
  <si>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</si>
  <si>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</si>
  <si>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</si>
  <si>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</si>
  <si>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</si>
  <si>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</si>
  <si>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</si>
  <si>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</si>
  <si>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</si>
  <si>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</si>
  <si>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</si>
  <si>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</si>
  <si>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</si>
  <si>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</si>
  <si>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</si>
  <si>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</si>
  <si>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</si>
  <si>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</si>
  <si>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</si>
  <si>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</si>
  <si>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</si>
  <si>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</si>
  <si>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</si>
  <si>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</si>
  <si>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</si>
  <si>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</si>
  <si>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</si>
  <si>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</si>
  <si>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</si>
  <si>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</si>
  <si>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</si>
  <si>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</si>
  <si>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</si>
  <si>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</si>
  <si>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</si>
  <si>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</si>
  <si>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</si>
  <si>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</si>
  <si>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</si>
  <si>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</si>
  <si>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</si>
  <si>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</si>
  <si>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</si>
  <si>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</si>
  <si>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</si>
  <si>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</si>
  <si>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</si>
  <si>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</si>
  <si>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</si>
  <si>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</si>
  <si>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</si>
  <si>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</si>
  <si>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</si>
  <si>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</si>
  <si>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</si>
  <si>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</si>
  <si>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</si>
  <si>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</si>
  <si>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</si>
  <si>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</si>
  <si>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</si>
  <si>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</si>
  <si>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</si>
  <si>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</si>
  <si>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</si>
  <si>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</si>
  <si>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</si>
  <si>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</si>
  <si>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</si>
  <si>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</si>
  <si>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</si>
  <si>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</si>
  <si>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</si>
  <si>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</si>
  <si>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</si>
  <si>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</si>
  <si>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</si>
  <si>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</si>
  <si>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</si>
  <si>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</si>
  <si>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</si>
  <si>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</si>
  <si>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</si>
  <si>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</si>
  <si>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</si>
  <si>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</si>
  <si>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</si>
  <si>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</si>
  <si>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</si>
  <si>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</si>
  <si>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</si>
  <si>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</si>
  <si>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</si>
  <si>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</si>
  <si>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</si>
  <si>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</si>
  <si>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</si>
  <si>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</si>
  <si>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</si>
  <si>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</si>
  <si>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</si>
  <si>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</si>
  <si>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</si>
  <si>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</si>
  <si>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</si>
  <si>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</si>
  <si>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</si>
  <si>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</si>
  <si>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</si>
  <si>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</si>
  <si>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</si>
  <si>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</si>
  <si>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</si>
  <si>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</si>
  <si>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</si>
  <si>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</si>
  <si>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</si>
  <si>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</si>
  <si>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</si>
  <si>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</si>
  <si>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</si>
  <si>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</si>
  <si>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</si>
  <si>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</si>
  <si>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</si>
  <si>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</si>
  <si>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</si>
  <si>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</si>
  <si>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</si>
  <si>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</si>
  <si>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</si>
  <si>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</si>
  <si>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</si>
  <si>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</si>
  <si>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</si>
  <si>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</si>
  <si>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</si>
  <si>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</si>
  <si>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</si>
  <si>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</si>
  <si>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</si>
  <si>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</si>
  <si>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</si>
  <si>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</si>
  <si>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</si>
  <si>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</si>
  <si>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</si>
  <si>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</si>
  <si>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</si>
  <si>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</si>
  <si>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</si>
  <si>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</si>
  <si>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</si>
  <si>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</si>
  <si>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</si>
  <si>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</si>
  <si>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</si>
  <si>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</si>
  <si>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</si>
  <si>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</si>
  <si>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</si>
  <si>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</si>
  <si>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</si>
  <si>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</si>
  <si>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</si>
  <si>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</si>
  <si>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</si>
  <si>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</si>
  <si>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</si>
  <si>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</si>
  <si>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</si>
  <si>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</si>
  <si>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</si>
  <si>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</si>
  <si>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</si>
  <si>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</si>
  <si>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</si>
  <si>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</si>
  <si>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</si>
  <si>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</si>
  <si>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</si>
  <si>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Employees</t>
  </si>
  <si>
    <t>Attrition Count</t>
  </si>
  <si>
    <t>Avergae Age</t>
  </si>
  <si>
    <t>Active Employees</t>
  </si>
  <si>
    <t>Attrition rate</t>
  </si>
  <si>
    <t>Row Labels</t>
  </si>
  <si>
    <t>Grand Total</t>
  </si>
  <si>
    <t>Count of Gender</t>
  </si>
  <si>
    <t>Sum of CF_attrition counts</t>
  </si>
  <si>
    <t>Count of Attrition</t>
  </si>
  <si>
    <t>HR Analytics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</si>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</sst>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48"/>
      <color theme="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9">
    <xf numFmtId="0" fontId="0" fillId="0" borderId="0" xfId="0"/>
    <xf numFmtId="0" fontId="0" fillId="0" borderId="0" xfId="0" applyAlignment="1">
      <alignment horizontal="center"/>
    </xf>
    <xf numFmtId="2" fontId="0" fillId="0" borderId="0" xfId="0" applyNumberFormat="1"/>
    <xf numFmtId="10" fontId="0" fillId="0" borderId="0" xfId="0" applyNumberFormat="1"/>
    <xf numFmtId="0" fontId="1" fillId="3" borderId="0" xfId="0" applyFont="1" applyFill="1" applyAlignment="1">
      <alignment horizontal="center" vertical="center"/>
    </xf>
    <xf numFmtId="0" fontId="0" fillId="4" borderId="0" xfId="0" applyFill="1" applyAlignment="1">
      <alignment horizontal="center" vertical="center"/>
    </xf>
    <xf numFmtId="1" fontId="0" fillId="4" borderId="0" xfId="0" applyNumberFormat="1" applyFill="1" applyAlignment="1">
      <alignment horizontal="center" vertical="center"/>
    </xf>
    <xf numFmtId="10" fontId="0" fillId="4" borderId="0" xfId="0" applyNumberFormat="1" applyFill="1" applyAlignment="1">
      <alignment horizontal="center" vertical="center"/>
    </xf>
    <xf numFmtId="0" fontId="0" fillId="0" borderId="0" xfId="0" pivotButton="1"/>
    <xf numFmtId="0" fontId="0" fillId="0" borderId="0" xfId="0" applyAlignment="1">
      <alignment horizontal="left"/>
    </xf>
    <xf numFmtId="0" fontId="1" fillId="0" borderId="0" xfId="0" applyFont="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3" borderId="0" xfId="0" applyFont="1" applyFill="1" applyAlignment="1">
      <alignment horizontal="center" vertical="center"/>
    </xf>
    <xf numFmtId="0" fontId="3" fillId="4" borderId="0" xfId="0" applyFont="1" applyFill="1" applyAlignment="1">
      <alignment horizontal="center" vertical="center"/>
    </xf>
    <xf numFmtId="1" fontId="3" fillId="4" borderId="0" xfId="0" applyNumberFormat="1" applyFont="1" applyFill="1" applyAlignment="1">
      <alignment horizontal="center" vertical="center"/>
    </xf>
    <xf numFmtId="10" fontId="3" fillId="4" borderId="0" xfId="0" applyNumberFormat="1" applyFont="1" applyFill="1" applyAlignment="1">
      <alignment horizontal="center" vertical="center"/>
    </xf>
    <xf numFmtId="0" fontId="0" fillId="5" borderId="0" xfId="0" applyFill="1"/>
    <xf numFmtId="0" fontId="4" fillId="5" borderId="0" xfId="0" applyFont="1" applyFill="1" applyAlignment="1">
      <alignment horizontal="center" vertical="center"/>
    </xf>
  </cellXfs>
  <cellStyles count="1">
    <cellStyle name="Normal" xfId="0" builtinId="0"/>
  </cellStyles>
  <dxfs count="48">
    <dxf>
      <numFmt numFmtId="0" formatCode="General"/>
    </dxf>
    <dxf>
      <numFmt numFmtId="2" formatCode="0.0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[HR_RawData.xlsx]Gender Split!PivotTable2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96-4E09-914F-A5E7B3660F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96-4E09-914F-A5E7B3660FF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Split'!$A$4:$A$6</c:f>
              <c:strCache>
                <c:ptCount val="2"/>
                <c:pt idx="0">
                  <c:v>Female</c:v>
                </c:pt>
                <c:pt idx="1">
                  <c:v>Male</c:v>
                </c:pt>
              </c:strCache>
            </c:strRef>
          </c:cat>
          <c:val>
            <c:numRef>
              <c:f>'Gender Split'!$B$4:$B$6</c:f>
              <c:numCache>
                <c:formatCode>General</c:formatCode>
                <c:ptCount val="2"/>
                <c:pt idx="0">
                  <c:v>588</c:v>
                </c:pt>
                <c:pt idx="1">
                  <c:v>882</c:v>
                </c:pt>
              </c:numCache>
            </c:numRef>
          </c:val>
          <c:extLst>
            <c:ext xmlns:c16="http://schemas.microsoft.com/office/drawing/2014/chart" uri="{C3380CC4-5D6E-409C-BE32-E72D297353CC}">
              <c16:uniqueId val="{00000000-A99D-4CBE-8AB3-9C7E4C2C7C6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[HR_RawData.xlsx]Qualification!PivotTable3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Qualification!$B$3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Qualification!$A$4:$A$9</c:f>
              <c:strCache>
                <c:ptCount val="5"/>
                <c:pt idx="0">
                  <c:v>Doctoral Degree</c:v>
                </c:pt>
                <c:pt idx="1">
                  <c:v>High School</c:v>
                </c:pt>
                <c:pt idx="2">
                  <c:v>Associates Degree</c:v>
                </c:pt>
                <c:pt idx="3">
                  <c:v>Master's Degree</c:v>
                </c:pt>
                <c:pt idx="4">
                  <c:v>Bachelor's Degree</c:v>
                </c:pt>
              </c:strCache>
            </c:strRef>
          </c:cat>
          <c:val>
            <c:numRef>
              <c:f>Qualification!$B$4:$B$9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C22-4F3B-A7FD-B5973C8AE94C}"/>
            </c:ext>
          </c:extLst>
        </c:ser>
        <c:dLbls>
          <c:dLblPos val="outEnd"/>
          <c:showLegendKey val="0"/>
          <c:showVal val="1"/>
          <c:showCatName val="0"/>
          <c:showSerName val="0"/>
          <c:showPercent val="0"/>
          <c:showBubbleSize val="0"/>
        </c:dLbls>
        <c:gapWidth val="182"/>
        <c:axId val="1032309680"/>
        <c:axId val="474648048"/>
      </c:barChart>
      <c:catAx>
        <c:axId val="103230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48048"/>
        <c:crosses val="autoZero"/>
        <c:auto val="1"/>
        <c:lblAlgn val="ctr"/>
        <c:lblOffset val="100"/>
        <c:noMultiLvlLbl val="0"/>
      </c:catAx>
      <c:valAx>
        <c:axId val="4746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0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[HR_RawData.xlsx]Department!PivotTable5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4.0881231973630746E-3"/>
              <c:y val="2.22185677246437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A-443D-9A43-F4C9E78A5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A-443D-9A43-F4C9E78A5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A-443D-9A43-F4C9E78A57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Department!$A$4:$A$7</c:f>
              <c:strCache>
                <c:ptCount val="3"/>
                <c:pt idx="0">
                  <c:v>HR</c:v>
                </c:pt>
                <c:pt idx="1">
                  <c:v>Sales</c:v>
                </c:pt>
                <c:pt idx="2">
                  <c:v>R&amp;D</c:v>
                </c:pt>
              </c:strCache>
            </c:strRef>
          </c:cat>
          <c:val>
            <c:numRef>
              <c:f>Department!$B$4:$B$7</c:f>
              <c:numCache>
                <c:formatCode>General</c:formatCode>
                <c:ptCount val="3"/>
                <c:pt idx="0">
                  <c:v>12</c:v>
                </c:pt>
                <c:pt idx="1">
                  <c:v>92</c:v>
                </c:pt>
                <c:pt idx="2">
                  <c:v>133</c:v>
                </c:pt>
              </c:numCache>
            </c:numRef>
          </c:val>
          <c:extLst>
            <c:ext xmlns:c16="http://schemas.microsoft.com/office/drawing/2014/chart" uri="{C3380CC4-5D6E-409C-BE32-E72D297353CC}">
              <c16:uniqueId val="{00000003-9ABF-4AED-A390-DD50F5FFA9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[HR_RawData.xlsx]Age!PivotTable6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Under 25</c:v>
                </c:pt>
                <c:pt idx="3">
                  <c:v>45 - 54</c:v>
                </c:pt>
                <c:pt idx="4">
                  <c:v>Over 55</c:v>
                </c:pt>
              </c:strCache>
            </c:strRef>
          </c:cat>
          <c:val>
            <c:numRef>
              <c:f>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BBB-41F0-88FB-18E26589B7E2}"/>
            </c:ext>
          </c:extLst>
        </c:ser>
        <c:dLbls>
          <c:dLblPos val="outEnd"/>
          <c:showLegendKey val="0"/>
          <c:showVal val="1"/>
          <c:showCatName val="0"/>
          <c:showSerName val="0"/>
          <c:showPercent val="0"/>
          <c:showBubbleSize val="0"/>
        </c:dLbls>
        <c:gapWidth val="219"/>
        <c:overlap val="-27"/>
        <c:axId val="1098781264"/>
        <c:axId val="474562608"/>
      </c:barChart>
      <c:catAx>
        <c:axId val="109878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2608"/>
        <c:crosses val="autoZero"/>
        <c:auto val="1"/>
        <c:lblAlgn val="ctr"/>
        <c:lblOffset val="100"/>
        <c:noMultiLvlLbl val="0"/>
      </c:catAx>
      <c:valAx>
        <c:axId val="47456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8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[HR_RawData.xlsx]Gender Split!PivotTable2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'Gender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8A-4D9D-B153-77FA37CB52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8A-4D9D-B153-77FA37CB52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Split'!$A$4:$A$6</c:f>
              <c:strCache>
                <c:ptCount val="2"/>
                <c:pt idx="0">
                  <c:v>Female</c:v>
                </c:pt>
                <c:pt idx="1">
                  <c:v>Male</c:v>
                </c:pt>
              </c:strCache>
            </c:strRef>
          </c:cat>
          <c:val>
            <c:numRef>
              <c:f>'Gender Split'!$B$4:$B$6</c:f>
              <c:numCache>
                <c:formatCode>General</c:formatCode>
                <c:ptCount val="2"/>
                <c:pt idx="0">
                  <c:v>588</c:v>
                </c:pt>
                <c:pt idx="1">
                  <c:v>882</c:v>
                </c:pt>
              </c:numCache>
            </c:numRef>
          </c:val>
          <c:extLst>
            <c:ext xmlns:c16="http://schemas.microsoft.com/office/drawing/2014/chart" uri="{C3380CC4-5D6E-409C-BE32-E72D297353CC}">
              <c16:uniqueId val="{00000004-418A-4D9D-B153-77FA37CB521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[HR_RawData.xlsx]Qualification!PivotTable3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Qualification!$B$3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Qualification!$A$4:$A$9</c:f>
              <c:strCache>
                <c:ptCount val="5"/>
                <c:pt idx="0">
                  <c:v>Doctoral Degree</c:v>
                </c:pt>
                <c:pt idx="1">
                  <c:v>High School</c:v>
                </c:pt>
                <c:pt idx="2">
                  <c:v>Associates Degree</c:v>
                </c:pt>
                <c:pt idx="3">
                  <c:v>Master's Degree</c:v>
                </c:pt>
                <c:pt idx="4">
                  <c:v>Bachelor's Degree</c:v>
                </c:pt>
              </c:strCache>
            </c:strRef>
          </c:cat>
          <c:val>
            <c:numRef>
              <c:f>Qualification!$B$4:$B$9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DE7-4F76-B473-3E00BE1EA4F5}"/>
            </c:ext>
          </c:extLst>
        </c:ser>
        <c:dLbls>
          <c:dLblPos val="outEnd"/>
          <c:showLegendKey val="0"/>
          <c:showVal val="1"/>
          <c:showCatName val="0"/>
          <c:showSerName val="0"/>
          <c:showPercent val="0"/>
          <c:showBubbleSize val="0"/>
        </c:dLbls>
        <c:gapWidth val="182"/>
        <c:axId val="1032309680"/>
        <c:axId val="474648048"/>
      </c:barChart>
      <c:catAx>
        <c:axId val="103230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48048"/>
        <c:crosses val="autoZero"/>
        <c:auto val="1"/>
        <c:lblAlgn val="ctr"/>
        <c:lblOffset val="100"/>
        <c:noMultiLvlLbl val="0"/>
      </c:catAx>
      <c:valAx>
        <c:axId val="4746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0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[HR_RawData.xlsx]Department!PivotTable5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4.0881231973630746E-3"/>
              <c:y val="2.22185677246437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4C-4E6C-A49A-9F8069CDE7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4C-4E6C-A49A-9F8069CDE7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4C-4E6C-A49A-9F8069CDE7B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Department!$A$4:$A$7</c:f>
              <c:strCache>
                <c:ptCount val="3"/>
                <c:pt idx="0">
                  <c:v>HR</c:v>
                </c:pt>
                <c:pt idx="1">
                  <c:v>Sales</c:v>
                </c:pt>
                <c:pt idx="2">
                  <c:v>R&amp;D</c:v>
                </c:pt>
              </c:strCache>
            </c:strRef>
          </c:cat>
          <c:val>
            <c:numRef>
              <c:f>Department!$B$4:$B$7</c:f>
              <c:numCache>
                <c:formatCode>General</c:formatCode>
                <c:ptCount val="3"/>
                <c:pt idx="0">
                  <c:v>12</c:v>
                </c:pt>
                <c:pt idx="1">
                  <c:v>92</c:v>
                </c:pt>
                <c:pt idx="2">
                  <c:v>133</c:v>
                </c:pt>
              </c:numCache>
            </c:numRef>
          </c:val>
          <c:extLst>
            <c:ext xmlns:c16="http://schemas.microsoft.com/office/drawing/2014/chart" uri="{C3380CC4-5D6E-409C-BE32-E72D297353CC}">
              <c16:uniqueId val="{00000006-654C-4E6C-A49A-9F8069CDE7B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[HR_RawData.xlsx]Age!PivotTable6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Under 25</c:v>
                </c:pt>
                <c:pt idx="3">
                  <c:v>45 - 54</c:v>
                </c:pt>
                <c:pt idx="4">
                  <c:v>Over 55</c:v>
                </c:pt>
              </c:strCache>
            </c:strRef>
          </c:cat>
          <c:val>
            <c:numRef>
              <c:f>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32F-4BEE-9DC3-DD4A5D274310}"/>
            </c:ext>
          </c:extLst>
        </c:ser>
        <c:dLbls>
          <c:dLblPos val="outEnd"/>
          <c:showLegendKey val="0"/>
          <c:showVal val="1"/>
          <c:showCatName val="0"/>
          <c:showSerName val="0"/>
          <c:showPercent val="0"/>
          <c:showBubbleSize val="0"/>
        </c:dLbls>
        <c:gapWidth val="219"/>
        <c:overlap val="-27"/>
        <c:axId val="1098781264"/>
        <c:axId val="474562608"/>
      </c:barChart>
      <c:catAx>
        <c:axId val="109878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2608"/>
        <c:crosses val="autoZero"/>
        <c:auto val="1"/>
        <c:lblAlgn val="ctr"/>
        <c:lblOffset val="100"/>
        <c:noMultiLvlLbl val="0"/>
      </c:catAx>
      <c:valAx>
        <c:axId val="47456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8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00000000-19F5-4FF4-8758-D76182D76260}">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Attrition by Marriage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Marriage Status</a:t>
          </a:r>
        </a:p>
      </cx:txPr>
    </cx:title>
    <cx:plotArea>
      <cx:plotAreaRegion>
        <cx:series layoutId="funnel" uniqueId="{00000000-79A6-4511-A21A-E8CA0B54929B}">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00000000-19F5-4FF4-8758-D76182D76260}">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Attrition by Marriage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Marriage Status</a:t>
          </a:r>
        </a:p>
      </cx:txPr>
    </cx:title>
    <cx:plotArea>
      <cx:plotAreaRegion>
        <cx:series layoutId="funnel" uniqueId="{00000000-79A6-4511-A21A-E8CA0B54929B}">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167640</xdr:rowOff>
    </xdr:from>
    <xdr:to>
      <xdr:col>8</xdr:col>
      <xdr:colOff>167640</xdr:colOff>
      <xdr:row>16</xdr:row>
      <xdr:rowOff>167640</xdr:rowOff>
    </xdr:to>
    <xdr:graphicFrame macro="">
      <xdr:nvGraphicFramePr>
        <xdr:cNvPr id="2" name="Chart 1">
          <a:extLst>
            <a:ext uri="{FF2B5EF4-FFF2-40B4-BE49-F238E27FC236}">
              <a16:creationId xmlns:a16="http://schemas.microsoft.com/office/drawing/2014/main" id="{1FA6FBCD-A340-9F0B-CD3F-38C399E45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xdr:colOff>
      <xdr:row>1</xdr:row>
      <xdr:rowOff>175260</xdr:rowOff>
    </xdr:from>
    <xdr:to>
      <xdr:col>9</xdr:col>
      <xdr:colOff>396240</xdr:colOff>
      <xdr:row>16</xdr:row>
      <xdr:rowOff>175260</xdr:rowOff>
    </xdr:to>
    <xdr:graphicFrame macro="">
      <xdr:nvGraphicFramePr>
        <xdr:cNvPr id="2" name="Chart 1">
          <a:extLst>
            <a:ext uri="{FF2B5EF4-FFF2-40B4-BE49-F238E27FC236}">
              <a16:creationId xmlns:a16="http://schemas.microsoft.com/office/drawing/2014/main" id="{773FF246-D142-0DE8-3D54-F8772D073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57150</xdr:rowOff>
    </xdr:from>
    <xdr:to>
      <xdr:col>5</xdr:col>
      <xdr:colOff>7620</xdr:colOff>
      <xdr:row>29</xdr:row>
      <xdr:rowOff>83820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F3F8F92-D9E0-A5CF-A3D1-567E9C253A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2434590"/>
              <a:ext cx="5783580" cy="2952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15163</xdr:colOff>
      <xdr:row>1</xdr:row>
      <xdr:rowOff>183956</xdr:rowOff>
    </xdr:from>
    <xdr:to>
      <xdr:col>7</xdr:col>
      <xdr:colOff>68503</xdr:colOff>
      <xdr:row>17</xdr:row>
      <xdr:rowOff>119186</xdr:rowOff>
    </xdr:to>
    <xdr:graphicFrame macro="">
      <xdr:nvGraphicFramePr>
        <xdr:cNvPr id="2" name="Chart 1">
          <a:extLst>
            <a:ext uri="{FF2B5EF4-FFF2-40B4-BE49-F238E27FC236}">
              <a16:creationId xmlns:a16="http://schemas.microsoft.com/office/drawing/2014/main" id="{F11E9269-0843-22C6-C22F-BE02D7BED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xdr:colOff>
      <xdr:row>2</xdr:row>
      <xdr:rowOff>3810</xdr:rowOff>
    </xdr:from>
    <xdr:to>
      <xdr:col>9</xdr:col>
      <xdr:colOff>327660</xdr:colOff>
      <xdr:row>17</xdr:row>
      <xdr:rowOff>3810</xdr:rowOff>
    </xdr:to>
    <xdr:graphicFrame macro="">
      <xdr:nvGraphicFramePr>
        <xdr:cNvPr id="2" name="Chart 1">
          <a:extLst>
            <a:ext uri="{FF2B5EF4-FFF2-40B4-BE49-F238E27FC236}">
              <a16:creationId xmlns:a16="http://schemas.microsoft.com/office/drawing/2014/main" id="{BBA784FC-C8DA-DC48-E0E1-2DD48E1C0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65852</xdr:colOff>
      <xdr:row>8</xdr:row>
      <xdr:rowOff>1647</xdr:rowOff>
    </xdr:from>
    <xdr:to>
      <xdr:col>4</xdr:col>
      <xdr:colOff>1373482</xdr:colOff>
      <xdr:row>24</xdr:row>
      <xdr:rowOff>56444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2CAAB76-B42A-1874-425B-653963AF1D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852" y="1431573"/>
              <a:ext cx="5258741" cy="29146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xdr:colOff>
      <xdr:row>5</xdr:row>
      <xdr:rowOff>0</xdr:rowOff>
    </xdr:from>
    <xdr:to>
      <xdr:col>4</xdr:col>
      <xdr:colOff>0</xdr:colOff>
      <xdr:row>20</xdr:row>
      <xdr:rowOff>0</xdr:rowOff>
    </xdr:to>
    <xdr:graphicFrame macro="">
      <xdr:nvGraphicFramePr>
        <xdr:cNvPr id="2" name="Chart 1">
          <a:extLst>
            <a:ext uri="{FF2B5EF4-FFF2-40B4-BE49-F238E27FC236}">
              <a16:creationId xmlns:a16="http://schemas.microsoft.com/office/drawing/2014/main" id="{0B4D3CA4-58FB-4546-A4D1-2F9FF3534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144882</xdr:colOff>
      <xdr:row>5</xdr:row>
      <xdr:rowOff>3532</xdr:rowOff>
    </xdr:from>
    <xdr:to>
      <xdr:col>7</xdr:col>
      <xdr:colOff>404813</xdr:colOff>
      <xdr:row>20</xdr:row>
      <xdr:rowOff>6670</xdr:rowOff>
    </xdr:to>
    <xdr:graphicFrame macro="">
      <xdr:nvGraphicFramePr>
        <xdr:cNvPr id="3" name="Chart 2">
          <a:extLst>
            <a:ext uri="{FF2B5EF4-FFF2-40B4-BE49-F238E27FC236}">
              <a16:creationId xmlns:a16="http://schemas.microsoft.com/office/drawing/2014/main" id="{4C45B3AD-80E3-4861-B769-E912C9518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513304</xdr:colOff>
      <xdr:row>4</xdr:row>
      <xdr:rowOff>177138</xdr:rowOff>
    </xdr:from>
    <xdr:to>
      <xdr:col>15</xdr:col>
      <xdr:colOff>36723</xdr:colOff>
      <xdr:row>19</xdr:row>
      <xdr:rowOff>177141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5A3D952-2584-4C0B-A661-1DD46E13D1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426924" y="908658"/>
              <a:ext cx="5367959" cy="30784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0</xdr:colOff>
      <xdr:row>20</xdr:row>
      <xdr:rowOff>185351</xdr:rowOff>
    </xdr:from>
    <xdr:to>
      <xdr:col>3</xdr:col>
      <xdr:colOff>1641231</xdr:colOff>
      <xdr:row>36</xdr:row>
      <xdr:rowOff>115008</xdr:rowOff>
    </xdr:to>
    <xdr:graphicFrame macro="">
      <xdr:nvGraphicFramePr>
        <xdr:cNvPr id="5" name="Chart 4">
          <a:extLst>
            <a:ext uri="{FF2B5EF4-FFF2-40B4-BE49-F238E27FC236}">
              <a16:creationId xmlns:a16="http://schemas.microsoft.com/office/drawing/2014/main" id="{8611A654-DC4F-4222-9DBE-A1D08B2B4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139521</xdr:colOff>
      <xdr:row>20</xdr:row>
      <xdr:rowOff>171719</xdr:rowOff>
    </xdr:from>
    <xdr:to>
      <xdr:col>7</xdr:col>
      <xdr:colOff>443204</xdr:colOff>
      <xdr:row>36</xdr:row>
      <xdr:rowOff>69980</xdr:rowOff>
    </xdr:to>
    <xdr:graphicFrame macro="">
      <xdr:nvGraphicFramePr>
        <xdr:cNvPr id="6" name="Chart 5">
          <a:extLst>
            <a:ext uri="{FF2B5EF4-FFF2-40B4-BE49-F238E27FC236}">
              <a16:creationId xmlns:a16="http://schemas.microsoft.com/office/drawing/2014/main" id="{0FBC4A42-AEF3-42DF-B124-761F7BAA9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548641</xdr:colOff>
      <xdr:row>20</xdr:row>
      <xdr:rowOff>167640</xdr:rowOff>
    </xdr:from>
    <xdr:to>
      <xdr:col>15</xdr:col>
      <xdr:colOff>45157</xdr:colOff>
      <xdr:row>36</xdr:row>
      <xdr:rowOff>62089</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D86445D0-EB2E-4C28-88D5-D41635DF99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462261" y="4244340"/>
              <a:ext cx="5341056" cy="32396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36413</xdr:colOff>
      <xdr:row>19</xdr:row>
      <xdr:rowOff>227734</xdr:rowOff>
    </xdr:from>
    <xdr:to>
      <xdr:col>1</xdr:col>
      <xdr:colOff>1259305</xdr:colOff>
      <xdr:row>36</xdr:row>
      <xdr:rowOff>88231</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B1BC6F51-3146-85C6-3FF5-BAE46BBC4B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413" y="4037734"/>
              <a:ext cx="2746892" cy="3460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27189</xdr:colOff>
      <xdr:row>10</xdr:row>
      <xdr:rowOff>16075</xdr:rowOff>
    </xdr:from>
    <xdr:to>
      <xdr:col>1</xdr:col>
      <xdr:colOff>1275347</xdr:colOff>
      <xdr:row>19</xdr:row>
      <xdr:rowOff>160421</xdr:rowOff>
    </xdr:to>
    <mc:AlternateContent xmlns:mc="http://schemas.openxmlformats.org/markup-compatibility/2006" xmlns:a14="http://schemas.microsoft.com/office/drawing/2010/main">
      <mc:Choice Requires="a14">
        <xdr:graphicFrame macro="">
          <xdr:nvGraphicFramePr>
            <xdr:cNvPr id="22" name="Education Field">
              <a:extLst>
                <a:ext uri="{FF2B5EF4-FFF2-40B4-BE49-F238E27FC236}">
                  <a16:creationId xmlns:a16="http://schemas.microsoft.com/office/drawing/2014/main" id="{8CA5CF92-02D4-2846-3DAD-BE3F3B48A5E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7189" y="2013041"/>
              <a:ext cx="2772158" cy="195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39863</xdr:colOff>
      <xdr:row>5</xdr:row>
      <xdr:rowOff>37151</xdr:rowOff>
    </xdr:from>
    <xdr:to>
      <xdr:col>1</xdr:col>
      <xdr:colOff>1291389</xdr:colOff>
      <xdr:row>9</xdr:row>
      <xdr:rowOff>88232</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1DBACEB0-9F4F-C1DF-0557-9C60789BC99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863" y="956806"/>
              <a:ext cx="2775526" cy="94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0.447779166665" createdVersion="8" refreshedVersion="8" minRefreshableVersion="3" recordCount="1470" xr:uid="{FEDDCD3B-2FB8-419D-A13E-1470E279ACDD}">
  <cacheSource type="worksheet">
    <worksheetSource name="Table13"/>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57856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A866D-A85F-4125-9627-D8E3DCD327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numFmtId="2"/>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5E6D33-BC32-4403-AD25-BEA578170B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6" firstHeaderRow="1" firstDataRow="1" firstDataCol="1"/>
  <pivotFields count="44">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formats count="1">
    <format dxfId="0">
      <pivotArea collapsedLevelsAreSubtotals="1" fieldPosition="0">
        <references count="1">
          <reference field="8"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7F5514-74DE-4BB8-A8A3-48FB169FBB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44">
    <pivotField showAll="0">
      <items count="3">
        <item x="1"/>
        <item x="0"/>
        <item t="default"/>
      </items>
    </pivotField>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3187DF-499B-47F3-920B-7FFC77463E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dataField="1"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3C2D1C-4333-4DB6-9D36-F780FDB5EB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7" firstHeaderRow="1" firstDataRow="1" firstDataCol="1"/>
  <pivotFields count="44">
    <pivotField showAll="0"/>
    <pivotField showAll="0"/>
    <pivotField showAll="0"/>
    <pivotField showAll="0"/>
    <pivotField axis="axisRow"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baseField="0" baseItem="0"/>
  </dataFields>
  <chartFormats count="8">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69825C-0F50-49A6-9536-FE0A8EB241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9" firstHeaderRow="1" firstDataRow="1" firstDataCol="1"/>
  <pivotFields count="44">
    <pivotField showAll="0"/>
    <pivotField showAll="0"/>
    <pivotField axis="axisRow" showAll="0">
      <items count="6">
        <item x="2"/>
        <item x="0"/>
        <item x="4"/>
        <item x="1"/>
        <item x="3"/>
        <item t="default"/>
      </items>
    </pivotField>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C1FE66-9D8D-411B-B9C1-138D1D1CF6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0"/>
        <item x="1"/>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D940EB-15AE-4B87-857C-F281A8A5C5AA}" sourceName="Department">
  <pivotTables>
    <pivotTable tabId="4" name="PivotTable2"/>
    <pivotTable tabId="8" name="PivotTable6"/>
    <pivotTable tabId="7" name="PivotTable5"/>
    <pivotTable tabId="6" name="PivotTable4"/>
    <pivotTable tabId="2" name="PivotTable1"/>
    <pivotTable tabId="9" name="PivotTable7"/>
    <pivotTable tabId="5" name="PivotTable3"/>
  </pivotTables>
  <data>
    <tabular pivotCacheId="185785648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564CF5F-0CB4-40ED-8AFF-CBC26214E2D5}" sourceName="Education Field">
  <pivotTables>
    <pivotTable tabId="4" name="PivotTable2"/>
    <pivotTable tabId="8" name="PivotTable6"/>
    <pivotTable tabId="7" name="PivotTable5"/>
    <pivotTable tabId="6" name="PivotTable4"/>
    <pivotTable tabId="2" name="PivotTable1"/>
    <pivotTable tabId="9" name="PivotTable7"/>
    <pivotTable tabId="5" name="PivotTable3"/>
  </pivotTables>
  <data>
    <tabular pivotCacheId="1857856482">
      <items count="6">
        <i x="3" s="1"/>
        <i x="5"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35049DC-65B2-45D7-BBC0-78DF090083B1}" sourceName="Gender">
  <pivotTables>
    <pivotTable tabId="4" name="PivotTable2"/>
    <pivotTable tabId="8" name="PivotTable6"/>
    <pivotTable tabId="7" name="PivotTable5"/>
    <pivotTable tabId="6" name="PivotTable4"/>
    <pivotTable tabId="2" name="PivotTable1"/>
    <pivotTable tabId="9" name="PivotTable7"/>
    <pivotTable tabId="5" name="PivotTable3"/>
  </pivotTables>
  <data>
    <tabular pivotCacheId="18578564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2F212E4-4F20-4357-A8E7-C71A28ABF24B}" cache="Slicer_Department" caption="Department" rowHeight="234950"/>
  <slicer name="Education Field" xr10:uid="{8B9608E5-748B-45DB-9EDC-A934B49B11E3}" cache="Slicer_Education_Field" caption="Education Field" rowHeight="234950"/>
  <slicer name="Gender" xr10:uid="{DD11983A-96B3-4F61-8A3E-F3B54CC7264A}"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3864-C753-40AB-A530-F5DE2544830A}" name="Table13" displayName="Table13" ref="A1:AR1471" totalsRowShown="0" headerRowDxfId="47" dataDxfId="46">
  <autoFilter ref="A1:AR1471" xr:uid="{AF433864-C753-40AB-A530-F5DE2544830A}"/>
  <tableColumns count="44">
    <tableColumn id="1" xr3:uid="{DCCF1D1B-C272-41A3-A3C1-3034066A52AD}" name="Attrition" dataDxfId="45"/>
    <tableColumn id="2" xr3:uid="{D48EDCC3-3530-4DF0-8E5A-53281F3DF65B}" name="Business Travel" dataDxfId="44"/>
    <tableColumn id="3" xr3:uid="{364972E3-E9D5-4D0E-8197-631E0D206FCB}" name="CF_age band" dataDxfId="43"/>
    <tableColumn id="4" xr3:uid="{E39AAEFA-DBD1-429A-9975-783CA0C0CE00}" name="CF_attrition label" dataDxfId="42"/>
    <tableColumn id="5" xr3:uid="{78DE53A4-483B-4E30-8DC0-DF3311BFD8EA}" name="Department" dataDxfId="41"/>
    <tableColumn id="6" xr3:uid="{1807FD53-FEAA-4FA8-961E-972CF91FEBDA}" name="Education Field" dataDxfId="40"/>
    <tableColumn id="7" xr3:uid="{161CBF04-B457-4BF8-B508-B372CE1FAB0D}" name="emp no" dataDxfId="39"/>
    <tableColumn id="8" xr3:uid="{AED08209-451F-497D-9D17-3D55B0F84345}" name="Employee Number" dataDxfId="38"/>
    <tableColumn id="9" xr3:uid="{794FB2AB-A9C0-411D-93BD-6338F54E0398}" name="Gender" dataDxfId="37"/>
    <tableColumn id="10" xr3:uid="{8C555725-15E2-462A-82F7-2F4C0B818AE2}" name="Job Role" dataDxfId="36"/>
    <tableColumn id="11" xr3:uid="{83FD91FC-10D0-4195-B8E4-53A9752DE5FB}" name="Marital Status" dataDxfId="35"/>
    <tableColumn id="12" xr3:uid="{ADA319BA-A72F-4793-8E5A-4492195A0079}" name="Over Time" dataDxfId="34"/>
    <tableColumn id="13" xr3:uid="{76F8E446-CEE8-40B5-B3D2-411219EEE6F5}" name="Over18" dataDxfId="33"/>
    <tableColumn id="14" xr3:uid="{80F22C11-3EA0-493A-8635-2E86EC3CDC76}" name="Training Times Last Year" dataDxfId="32"/>
    <tableColumn id="15" xr3:uid="{B3D1083E-B555-47AE-88C5-D153BBC5FFD1}" name="-2" dataDxfId="31"/>
    <tableColumn id="16" xr3:uid="{92A211E1-0CBF-4970-991D-D2A7B98041D2}" name="0" dataDxfId="30"/>
    <tableColumn id="17" xr3:uid="{F63B634B-4361-44AE-B3E4-D606D537D913}" name="Age" dataDxfId="29"/>
    <tableColumn id="18" xr3:uid="{B6982339-1123-4C1D-874A-96431BB5E156}" name="CF_attrition count" dataDxfId="28"/>
    <tableColumn id="19" xr3:uid="{ACE91D6A-B0B4-49EA-97A5-9BB503F73510}" name="CF_attrition counts" dataDxfId="27"/>
    <tableColumn id="20" xr3:uid="{25BB0DEA-FC9C-41A0-8499-76AEE5CA5828}" name="CF_attrition rate" dataDxfId="26"/>
    <tableColumn id="21" xr3:uid="{0D836C4A-AB45-4A3C-83D4-27C11C34D029}" name="CF_current Employee" dataDxfId="25"/>
    <tableColumn id="22" xr3:uid="{0A52CBD0-4DD0-4134-8E46-488D85CFC7C2}" name="Daily Rate" dataDxfId="24"/>
    <tableColumn id="23" xr3:uid="{C64EF460-989F-4471-A25F-D2C74281112E}" name="Distance From Home" dataDxfId="23"/>
    <tableColumn id="24" xr3:uid="{0EA73411-3654-4148-ACD1-B9F72A9697DD}" name="Education" dataDxfId="22"/>
    <tableColumn id="25" xr3:uid="{EA74026E-271B-45C4-A471-F05870237E29}" name="Employee Count" dataDxfId="21"/>
    <tableColumn id="26" xr3:uid="{501CB9F7-6B27-47C0-83D9-CF91300BCCE5}" name="Environment Satisfaction" dataDxfId="20"/>
    <tableColumn id="27" xr3:uid="{F71CD133-E1BD-4FA9-9D58-31E4BFECE13D}" name="Hourly Rate" dataDxfId="19"/>
    <tableColumn id="28" xr3:uid="{3BDE077F-092A-47C1-9CA2-9C397B4CF9CA}" name="Job Involvement" dataDxfId="18"/>
    <tableColumn id="29" xr3:uid="{74C7B6CB-B631-410C-AA95-84B83A2FA3B5}" name="Job Level" dataDxfId="17"/>
    <tableColumn id="30" xr3:uid="{4F07EF5D-286D-4EB6-9165-927512E06700}" name="Job Satisfaction" dataDxfId="16"/>
    <tableColumn id="31" xr3:uid="{558C8B01-7AB8-4D44-B77C-1ABD7094D7FD}" name="Monthly Income" dataDxfId="15"/>
    <tableColumn id="32" xr3:uid="{CA2E3FDB-E707-421D-BBEC-2F9097F5C761}" name="Monthly Rate" dataDxfId="14"/>
    <tableColumn id="33" xr3:uid="{2AD19C61-4CCA-49A9-B6AF-D9A189171271}" name="Num Companies Worked" dataDxfId="13"/>
    <tableColumn id="34" xr3:uid="{6B91B1C2-DC6E-43A6-81FF-778F9F55E4DF}" name="Percent Salary Hike" dataDxfId="12"/>
    <tableColumn id="35" xr3:uid="{4E7EF49B-8917-4700-BF6E-57EBFDF8DEB0}" name="Performance Rating" dataDxfId="11"/>
    <tableColumn id="36" xr3:uid="{B1BAB07A-E36D-4F09-B263-DBAE0E270AAD}" name="Relationship Satisfaction" dataDxfId="10"/>
    <tableColumn id="37" xr3:uid="{497E4B36-7F1A-4A06-9C81-6A00C554023C}" name="Standard Hours" dataDxfId="9"/>
    <tableColumn id="38" xr3:uid="{60ECA46F-E978-4720-9A36-1E29C8165655}" name="Stock Option Level" dataDxfId="8"/>
    <tableColumn id="39" xr3:uid="{9DACF18C-6316-4A6A-AF65-C40DC2E6B1CC}" name="Total Working Years" dataDxfId="7"/>
    <tableColumn id="40" xr3:uid="{701363AF-0949-4AB6-86A8-A8D58DA0C220}" name="Work Life Balance" dataDxfId="6"/>
    <tableColumn id="41" xr3:uid="{91B36AE1-9B01-48A1-8144-24B4AF23909E}" name="Years At Company" dataDxfId="5"/>
    <tableColumn id="42" xr3:uid="{C0C8F517-AABE-4680-B36E-C8D3B5E6D895}" name="Years In Current Role" dataDxfId="4"/>
    <tableColumn id="43" xr3:uid="{D04073B1-BDC2-468E-8033-1DB0F1A883B6}" name="Years Since Last Promotion" dataDxfId="3"/>
    <tableColumn id="44" xr3:uid="{A78755F7-54CE-40EF-93DE-4582B707DA00}" name="Years With Curr Manager"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69B3-7B8F-4CC4-8A28-C270DD4F61AA}">
  <dimension ref="A1:AR1471"/>
  <sheetViews>
    <sheetView zoomScale="105" workbookViewId="0"/>
  </sheetViews>
  <sheetFormatPr defaultRowHeight="14.4" x14ac:dyDescent="0.3"/>
  <cols>
    <col min="1" max="1" width="12.44140625" bestFit="1" customWidth="1"/>
    <col min="2" max="2" width="18.21875" bestFit="1" customWidth="1"/>
    <col min="3" max="3" width="16.21875" bestFit="1" customWidth="1"/>
    <col min="4" max="4" width="19.77734375" bestFit="1" customWidth="1"/>
    <col min="5" max="5" width="15.5546875" bestFit="1" customWidth="1"/>
    <col min="6" max="6" width="18.33203125" bestFit="1" customWidth="1"/>
    <col min="7" max="7" width="11.88671875" bestFit="1" customWidth="1"/>
    <col min="8" max="8" width="16.77734375" bestFit="1" customWidth="1"/>
    <col min="9" max="9" width="11.5546875" bestFit="1" customWidth="1"/>
    <col min="10" max="10" width="22.88671875" bestFit="1" customWidth="1"/>
    <col min="11" max="11" width="17.109375" bestFit="1" customWidth="1"/>
    <col min="12" max="12" width="14" bestFit="1" customWidth="1"/>
    <col min="13" max="13" width="11.44140625" bestFit="1" customWidth="1"/>
    <col min="14" max="14" width="25.77734375" bestFit="1" customWidth="1"/>
    <col min="15" max="15" width="7.109375" bestFit="1" customWidth="1"/>
    <col min="16" max="16" width="6.44140625" bestFit="1" customWidth="1"/>
    <col min="17" max="17" width="8.6640625" bestFit="1" customWidth="1"/>
    <col min="18" max="18" width="20.6640625" bestFit="1" customWidth="1"/>
    <col min="19" max="19" width="21.44140625" bestFit="1" customWidth="1"/>
    <col min="20" max="20" width="19.109375" bestFit="1" customWidth="1"/>
    <col min="21" max="21" width="23.5546875" bestFit="1" customWidth="1"/>
    <col min="22" max="22" width="13.77734375" bestFit="1" customWidth="1"/>
    <col min="23" max="23" width="23" bestFit="1" customWidth="1"/>
    <col min="24" max="24" width="15.88671875" bestFit="1" customWidth="1"/>
    <col min="25" max="25" width="19.44140625" bestFit="1" customWidth="1"/>
    <col min="26" max="26" width="26.88671875" bestFit="1" customWidth="1"/>
    <col min="27" max="27" width="15.21875" bestFit="1" customWidth="1"/>
    <col min="28" max="28" width="19.5546875" bestFit="1" customWidth="1"/>
    <col min="29" max="29" width="13.109375" bestFit="1" customWidth="1"/>
    <col min="30" max="30" width="18.6640625" bestFit="1" customWidth="1"/>
    <col min="31" max="31" width="19.5546875" bestFit="1" customWidth="1"/>
    <col min="32" max="32" width="16.88671875" bestFit="1" customWidth="1"/>
    <col min="33" max="33" width="26.77734375" bestFit="1" customWidth="1"/>
    <col min="34" max="34" width="21.77734375" bestFit="1" customWidth="1"/>
    <col min="35" max="35" width="22.33203125" bestFit="1" customWidth="1"/>
    <col min="36" max="36" width="26.33203125" bestFit="1" customWidth="1"/>
    <col min="37" max="37" width="18.5546875" bestFit="1" customWidth="1"/>
    <col min="38" max="38" width="21.21875" bestFit="1" customWidth="1"/>
    <col min="39" max="39" width="22.33203125" bestFit="1" customWidth="1"/>
    <col min="40" max="40" width="20.5546875" bestFit="1" customWidth="1"/>
    <col min="41" max="41" width="20.88671875" bestFit="1" customWidth="1"/>
    <col min="42" max="42" width="23.109375" bestFit="1" customWidth="1"/>
    <col min="43" max="43" width="28.33203125" bestFit="1" customWidth="1"/>
    <col min="44" max="44" width="26.6640625" bestFit="1"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450BB-7ABB-4837-9556-9030D673065C}">
  <dimension ref="A3:E8"/>
  <sheetViews>
    <sheetView workbookViewId="0">
      <selection activeCell="N15" sqref="N15"/>
    </sheetView>
  </sheetViews>
  <sheetFormatPr defaultRowHeight="14.4" x14ac:dyDescent="0.3"/>
  <cols>
    <col min="1" max="1" width="15.33203125" bestFit="1" customWidth="1"/>
    <col min="2" max="2" width="22.88671875" bestFit="1" customWidth="1"/>
    <col min="3" max="3" width="13.88671875" bestFit="1" customWidth="1"/>
    <col min="4" max="4" width="15.33203125" bestFit="1" customWidth="1"/>
    <col min="5" max="5" width="11.5546875" bestFit="1" customWidth="1"/>
  </cols>
  <sheetData>
    <row r="3" spans="1:5" x14ac:dyDescent="0.3">
      <c r="A3" t="s">
        <v>1554</v>
      </c>
      <c r="B3" t="s">
        <v>1555</v>
      </c>
      <c r="C3" t="s">
        <v>1556</v>
      </c>
    </row>
    <row r="4" spans="1:5" x14ac:dyDescent="0.3">
      <c r="A4">
        <v>1470</v>
      </c>
      <c r="B4">
        <v>237</v>
      </c>
      <c r="C4" s="2">
        <v>36.923809523809524</v>
      </c>
    </row>
    <row r="7" spans="1:5" x14ac:dyDescent="0.3">
      <c r="A7" s="4" t="s">
        <v>1557</v>
      </c>
      <c r="B7" s="4" t="s">
        <v>1558</v>
      </c>
      <c r="C7" s="4" t="s">
        <v>1559</v>
      </c>
      <c r="D7" s="4" t="s">
        <v>1560</v>
      </c>
      <c r="E7" s="4" t="s">
        <v>1561</v>
      </c>
    </row>
    <row r="8" spans="1:5" x14ac:dyDescent="0.3">
      <c r="A8" s="5">
        <f>GETPIVOTDATA("Count of emp no",$A$3)</f>
        <v>1470</v>
      </c>
      <c r="B8" s="5">
        <f>GETPIVOTDATA("Sum of CF_attrition count",$A$3)</f>
        <v>237</v>
      </c>
      <c r="C8" s="6">
        <f>GETPIVOTDATA("Average of Age",$A$3)</f>
        <v>36.923809523809524</v>
      </c>
      <c r="D8" s="5">
        <f>A8-B8</f>
        <v>1233</v>
      </c>
      <c r="E8" s="7">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21C4-C6F2-4D62-9510-06464755CDAB}">
  <dimension ref="A3:C6"/>
  <sheetViews>
    <sheetView workbookViewId="0">
      <selection activeCell="O12" sqref="O12"/>
    </sheetView>
  </sheetViews>
  <sheetFormatPr defaultRowHeight="14.4" x14ac:dyDescent="0.3"/>
  <cols>
    <col min="1" max="1" width="12.5546875" bestFit="1" customWidth="1"/>
    <col min="2" max="2" width="15" bestFit="1" customWidth="1"/>
  </cols>
  <sheetData>
    <row r="3" spans="1:3" x14ac:dyDescent="0.3">
      <c r="A3" s="8" t="s">
        <v>1562</v>
      </c>
      <c r="B3" t="s">
        <v>1564</v>
      </c>
    </row>
    <row r="4" spans="1:3" x14ac:dyDescent="0.3">
      <c r="A4" s="9" t="s">
        <v>51</v>
      </c>
      <c r="B4">
        <v>588</v>
      </c>
      <c r="C4" s="3">
        <f>B4/B6</f>
        <v>0.4</v>
      </c>
    </row>
    <row r="5" spans="1:3" x14ac:dyDescent="0.3">
      <c r="A5" s="9" t="s">
        <v>62</v>
      </c>
      <c r="B5">
        <v>882</v>
      </c>
      <c r="C5" s="3">
        <f>B5/B6</f>
        <v>0.6</v>
      </c>
    </row>
    <row r="6" spans="1:3" x14ac:dyDescent="0.3">
      <c r="A6" s="9" t="s">
        <v>1563</v>
      </c>
      <c r="B6">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8B8F-AEA2-4486-A492-664843930A0D}">
  <dimension ref="A3:M26"/>
  <sheetViews>
    <sheetView workbookViewId="0">
      <selection activeCell="M26" sqref="M26"/>
    </sheetView>
  </sheetViews>
  <sheetFormatPr defaultRowHeight="14.4" x14ac:dyDescent="0.3"/>
  <cols>
    <col min="1" max="1" width="15.88671875" bestFit="1" customWidth="1"/>
    <col min="2" max="2" width="23.6640625" bestFit="1" customWidth="1"/>
    <col min="3" max="3" width="6.109375" customWidth="1"/>
    <col min="4" max="4" width="10.77734375" bestFit="1" customWidth="1"/>
  </cols>
  <sheetData>
    <row r="3" spans="1:2" x14ac:dyDescent="0.3">
      <c r="A3" s="8" t="s">
        <v>1562</v>
      </c>
      <c r="B3" t="s">
        <v>1565</v>
      </c>
    </row>
    <row r="4" spans="1:2" x14ac:dyDescent="0.3">
      <c r="A4" s="9" t="s">
        <v>134</v>
      </c>
      <c r="B4">
        <v>5</v>
      </c>
    </row>
    <row r="5" spans="1:2" x14ac:dyDescent="0.3">
      <c r="A5" s="9" t="s">
        <v>65</v>
      </c>
      <c r="B5">
        <v>31</v>
      </c>
    </row>
    <row r="6" spans="1:2" x14ac:dyDescent="0.3">
      <c r="A6" s="9" t="s">
        <v>55</v>
      </c>
      <c r="B6">
        <v>44</v>
      </c>
    </row>
    <row r="7" spans="1:2" x14ac:dyDescent="0.3">
      <c r="A7" s="9" t="s">
        <v>71</v>
      </c>
      <c r="B7">
        <v>58</v>
      </c>
    </row>
    <row r="8" spans="1:2" x14ac:dyDescent="0.3">
      <c r="A8" s="9" t="s">
        <v>77</v>
      </c>
      <c r="B8">
        <v>99</v>
      </c>
    </row>
    <row r="9" spans="1:2" x14ac:dyDescent="0.3">
      <c r="A9" s="9" t="s">
        <v>1563</v>
      </c>
      <c r="B9">
        <v>237</v>
      </c>
    </row>
    <row r="26" spans="13:13" x14ac:dyDescent="0.3">
      <c r="M26" t="s">
        <v>1568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0015-2C32-4A81-A102-E81B8723BA80}">
  <dimension ref="A3:E13"/>
  <sheetViews>
    <sheetView workbookViewId="0">
      <selection activeCell="G22" sqref="G22"/>
    </sheetView>
  </sheetViews>
  <sheetFormatPr defaultRowHeight="14.4" x14ac:dyDescent="0.3"/>
  <cols>
    <col min="1" max="1" width="22.88671875" bestFit="1" customWidth="1"/>
    <col min="2" max="2" width="15.88671875" bestFit="1" customWidth="1"/>
    <col min="4" max="4" width="22.88671875" bestFit="1" customWidth="1"/>
    <col min="5" max="5" width="13.6640625" bestFit="1" customWidth="1"/>
    <col min="6" max="6" width="13.21875" bestFit="1" customWidth="1"/>
    <col min="8" max="8" width="22.88671875" bestFit="1" customWidth="1"/>
    <col min="9" max="9" width="20.21875" bestFit="1" customWidth="1"/>
  </cols>
  <sheetData>
    <row r="3" spans="1:5" x14ac:dyDescent="0.3">
      <c r="A3" s="8" t="s">
        <v>1562</v>
      </c>
      <c r="B3" t="s">
        <v>1566</v>
      </c>
      <c r="D3" s="10" t="s">
        <v>9</v>
      </c>
      <c r="E3" s="10" t="s">
        <v>1558</v>
      </c>
    </row>
    <row r="4" spans="1:5" x14ac:dyDescent="0.3">
      <c r="A4" s="9" t="s">
        <v>83</v>
      </c>
      <c r="B4">
        <v>131</v>
      </c>
      <c r="D4" s="1" t="s">
        <v>83</v>
      </c>
      <c r="E4" s="1">
        <f>GETPIVOTDATA("Attrition",$A$3,"Job Role","Healthcare Representative")</f>
        <v>131</v>
      </c>
    </row>
    <row r="5" spans="1:5" x14ac:dyDescent="0.3">
      <c r="A5" s="9" t="s">
        <v>163</v>
      </c>
      <c r="B5">
        <v>52</v>
      </c>
      <c r="D5" s="1" t="s">
        <v>163</v>
      </c>
      <c r="E5" s="1">
        <f>GETPIVOTDATA("Attrition",$A$3,"Job Role","Human Resources")</f>
        <v>52</v>
      </c>
    </row>
    <row r="6" spans="1:5" x14ac:dyDescent="0.3">
      <c r="A6" s="9" t="s">
        <v>68</v>
      </c>
      <c r="B6">
        <v>259</v>
      </c>
      <c r="D6" s="1" t="s">
        <v>68</v>
      </c>
      <c r="E6" s="1">
        <f>GETPIVOTDATA("Attrition",$A$3,"Job Role","Laboratory Technician")</f>
        <v>259</v>
      </c>
    </row>
    <row r="7" spans="1:5" x14ac:dyDescent="0.3">
      <c r="A7" s="9" t="s">
        <v>95</v>
      </c>
      <c r="B7">
        <v>102</v>
      </c>
      <c r="D7" s="1" t="s">
        <v>95</v>
      </c>
      <c r="E7" s="1">
        <f>GETPIVOTDATA("Attrition",$A$3,"Job Role","Manager")</f>
        <v>102</v>
      </c>
    </row>
    <row r="8" spans="1:5" x14ac:dyDescent="0.3">
      <c r="A8" s="9" t="s">
        <v>81</v>
      </c>
      <c r="B8">
        <v>145</v>
      </c>
      <c r="D8" s="1" t="s">
        <v>81</v>
      </c>
      <c r="E8" s="1">
        <f>GETPIVOTDATA("Attrition",$A$3,"Job Role","Manufacturing Director")</f>
        <v>145</v>
      </c>
    </row>
    <row r="9" spans="1:5" x14ac:dyDescent="0.3">
      <c r="A9" s="9" t="s">
        <v>101</v>
      </c>
      <c r="B9">
        <v>80</v>
      </c>
      <c r="D9" s="1" t="s">
        <v>101</v>
      </c>
      <c r="E9" s="1">
        <f>GETPIVOTDATA("Attrition",$A$3,"Job Role","Research Director")</f>
        <v>80</v>
      </c>
    </row>
    <row r="10" spans="1:5" x14ac:dyDescent="0.3">
      <c r="A10" s="9" t="s">
        <v>63</v>
      </c>
      <c r="B10">
        <v>292</v>
      </c>
      <c r="D10" s="1" t="s">
        <v>63</v>
      </c>
      <c r="E10" s="1">
        <f>GETPIVOTDATA("Attrition",$A$3,"Job Role","Research Scientist")</f>
        <v>292</v>
      </c>
    </row>
    <row r="11" spans="1:5" x14ac:dyDescent="0.3">
      <c r="A11" s="9" t="s">
        <v>52</v>
      </c>
      <c r="B11">
        <v>326</v>
      </c>
      <c r="D11" s="1" t="s">
        <v>52</v>
      </c>
      <c r="E11" s="1">
        <f>GETPIVOTDATA("Attrition",$A$3,"Job Role","Sales Executive")</f>
        <v>326</v>
      </c>
    </row>
    <row r="12" spans="1:5" x14ac:dyDescent="0.3">
      <c r="A12" s="9" t="s">
        <v>99</v>
      </c>
      <c r="B12">
        <v>83</v>
      </c>
      <c r="D12" s="1" t="s">
        <v>99</v>
      </c>
      <c r="E12" s="1">
        <f>GETPIVOTDATA("Attrition",$A$3,"Job Role","Sales Representative")</f>
        <v>83</v>
      </c>
    </row>
    <row r="13" spans="1:5" x14ac:dyDescent="0.3">
      <c r="A13" s="9" t="s">
        <v>1563</v>
      </c>
      <c r="B13">
        <v>1470</v>
      </c>
      <c r="D13" s="10" t="s">
        <v>1563</v>
      </c>
      <c r="E13" s="10">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10E6-7788-4C8D-9F06-0B7B7CB84014}">
  <dimension ref="A3:B7"/>
  <sheetViews>
    <sheetView zoomScale="99" workbookViewId="0">
      <selection activeCell="M14" sqref="M14"/>
    </sheetView>
  </sheetViews>
  <sheetFormatPr defaultRowHeight="14.4" x14ac:dyDescent="0.3"/>
  <cols>
    <col min="1" max="1" width="12.6640625" bestFit="1" customWidth="1"/>
    <col min="2" max="2" width="23.88671875" bestFit="1" customWidth="1"/>
  </cols>
  <sheetData>
    <row r="3" spans="1:2" x14ac:dyDescent="0.3">
      <c r="A3" s="8" t="s">
        <v>1562</v>
      </c>
      <c r="B3" t="s">
        <v>1565</v>
      </c>
    </row>
    <row r="4" spans="1:2" x14ac:dyDescent="0.3">
      <c r="A4" s="9" t="s">
        <v>161</v>
      </c>
      <c r="B4">
        <v>12</v>
      </c>
    </row>
    <row r="5" spans="1:2" x14ac:dyDescent="0.3">
      <c r="A5" s="9" t="s">
        <v>48</v>
      </c>
      <c r="B5">
        <v>92</v>
      </c>
    </row>
    <row r="6" spans="1:2" x14ac:dyDescent="0.3">
      <c r="A6" s="9" t="s">
        <v>60</v>
      </c>
      <c r="B6">
        <v>133</v>
      </c>
    </row>
    <row r="7" spans="1:2" x14ac:dyDescent="0.3">
      <c r="A7" s="9" t="s">
        <v>1563</v>
      </c>
      <c r="B7">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0217-C0DF-4A5D-96F6-FD31F34FE127}">
  <dimension ref="A3:B9"/>
  <sheetViews>
    <sheetView workbookViewId="0">
      <selection activeCell="M12" sqref="M12"/>
    </sheetView>
  </sheetViews>
  <sheetFormatPr defaultRowHeight="14.4" x14ac:dyDescent="0.3"/>
  <cols>
    <col min="1" max="1" width="12.5546875" bestFit="1" customWidth="1"/>
    <col min="2" max="2" width="22.88671875" bestFit="1" customWidth="1"/>
  </cols>
  <sheetData>
    <row r="3" spans="1:2" x14ac:dyDescent="0.3">
      <c r="A3" s="8" t="s">
        <v>1562</v>
      </c>
      <c r="B3" t="s">
        <v>1555</v>
      </c>
    </row>
    <row r="4" spans="1:2" x14ac:dyDescent="0.3">
      <c r="A4" s="9" t="s">
        <v>69</v>
      </c>
      <c r="B4">
        <v>112</v>
      </c>
    </row>
    <row r="5" spans="1:2" x14ac:dyDescent="0.3">
      <c r="A5" s="9" t="s">
        <v>46</v>
      </c>
      <c r="B5">
        <v>51</v>
      </c>
    </row>
    <row r="6" spans="1:2" x14ac:dyDescent="0.3">
      <c r="A6" s="9" t="s">
        <v>92</v>
      </c>
      <c r="B6">
        <v>38</v>
      </c>
    </row>
    <row r="7" spans="1:2" x14ac:dyDescent="0.3">
      <c r="A7" s="9" t="s">
        <v>58</v>
      </c>
      <c r="B7">
        <v>25</v>
      </c>
    </row>
    <row r="8" spans="1:2" x14ac:dyDescent="0.3">
      <c r="A8" s="9" t="s">
        <v>75</v>
      </c>
      <c r="B8">
        <v>11</v>
      </c>
    </row>
    <row r="9" spans="1:2" x14ac:dyDescent="0.3">
      <c r="A9" s="9" t="s">
        <v>1563</v>
      </c>
      <c r="B9">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AD07-689D-4B5A-B6DF-C32933570A80}">
  <dimension ref="A3:E7"/>
  <sheetViews>
    <sheetView workbookViewId="0">
      <selection activeCell="J8" sqref="J8"/>
    </sheetView>
  </sheetViews>
  <sheetFormatPr defaultRowHeight="14.4" x14ac:dyDescent="0.3"/>
  <cols>
    <col min="1" max="1" width="13.109375" bestFit="1" customWidth="1"/>
    <col min="2" max="2" width="22.88671875" bestFit="1" customWidth="1"/>
    <col min="4" max="4" width="12.6640625" bestFit="1" customWidth="1"/>
    <col min="5" max="5" width="22.88671875" bestFit="1" customWidth="1"/>
  </cols>
  <sheetData>
    <row r="3" spans="1:5" x14ac:dyDescent="0.3">
      <c r="A3" s="8" t="s">
        <v>1562</v>
      </c>
      <c r="B3" t="s">
        <v>1555</v>
      </c>
      <c r="D3" s="11" t="s">
        <v>10</v>
      </c>
      <c r="E3" s="11" t="s">
        <v>1558</v>
      </c>
    </row>
    <row r="4" spans="1:5" x14ac:dyDescent="0.3">
      <c r="A4" s="9" t="s">
        <v>79</v>
      </c>
      <c r="B4">
        <v>33</v>
      </c>
      <c r="D4" s="1" t="s">
        <v>79</v>
      </c>
      <c r="E4" s="1">
        <f>GETPIVOTDATA("CF_attrition count",$A$3,"Marital Status","Divorced")</f>
        <v>33</v>
      </c>
    </row>
    <row r="5" spans="1:5" x14ac:dyDescent="0.3">
      <c r="A5" s="9" t="s">
        <v>64</v>
      </c>
      <c r="B5">
        <v>84</v>
      </c>
      <c r="D5" s="1" t="s">
        <v>64</v>
      </c>
      <c r="E5" s="1">
        <f>GETPIVOTDATA("CF_attrition count",$A$3,"Marital Status","Married")</f>
        <v>84</v>
      </c>
    </row>
    <row r="6" spans="1:5" x14ac:dyDescent="0.3">
      <c r="A6" s="9" t="s">
        <v>53</v>
      </c>
      <c r="B6">
        <v>120</v>
      </c>
      <c r="D6" s="1" t="s">
        <v>53</v>
      </c>
      <c r="E6" s="1">
        <f>GETPIVOTDATA("CF_attrition count",$A$3,"Marital Status","Single")</f>
        <v>120</v>
      </c>
    </row>
    <row r="7" spans="1:5" x14ac:dyDescent="0.3">
      <c r="A7" s="9" t="s">
        <v>1563</v>
      </c>
      <c r="B7">
        <v>237</v>
      </c>
      <c r="D7" s="12" t="s">
        <v>1563</v>
      </c>
      <c r="E7" s="12">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50339-F9EB-4118-B62D-FB616BAFCFA5}">
  <dimension ref="A1:P36"/>
  <sheetViews>
    <sheetView showGridLines="0" tabSelected="1" zoomScale="63" zoomScaleNormal="70" workbookViewId="0">
      <selection activeCell="O36" sqref="A6:O36"/>
    </sheetView>
  </sheetViews>
  <sheetFormatPr defaultRowHeight="14.4" x14ac:dyDescent="0.3"/>
  <cols>
    <col min="1" max="1" width="22.21875" bestFit="1" customWidth="1"/>
    <col min="2" max="2" width="20.109375" bestFit="1" customWidth="1"/>
    <col min="3" max="3" width="17.109375" bestFit="1" customWidth="1"/>
    <col min="4" max="4" width="24.109375" customWidth="1"/>
    <col min="5" max="5" width="17.88671875" customWidth="1"/>
    <col min="7" max="7" width="34.21875" customWidth="1"/>
    <col min="14" max="14" width="10.77734375" customWidth="1"/>
    <col min="15" max="15" width="21.109375" customWidth="1"/>
    <col min="16" max="16" width="23.6640625" customWidth="1"/>
    <col min="17" max="17" width="23.6640625" bestFit="1" customWidth="1"/>
    <col min="18" max="18" width="17.88671875" bestFit="1" customWidth="1"/>
  </cols>
  <sheetData>
    <row r="1" spans="1:16" x14ac:dyDescent="0.3">
      <c r="A1" s="18" t="s">
        <v>1567</v>
      </c>
      <c r="B1" s="18"/>
      <c r="C1" s="18"/>
      <c r="D1" s="18"/>
      <c r="E1" s="18"/>
      <c r="F1" s="18"/>
      <c r="G1" s="18"/>
      <c r="H1" s="18"/>
      <c r="I1" s="18"/>
      <c r="J1" s="18"/>
      <c r="K1" s="18"/>
      <c r="L1" s="18"/>
      <c r="M1" s="18"/>
      <c r="N1" s="18"/>
      <c r="O1" s="18"/>
      <c r="P1" s="18"/>
    </row>
    <row r="2" spans="1:16" x14ac:dyDescent="0.3">
      <c r="A2" s="18"/>
      <c r="B2" s="18"/>
      <c r="C2" s="18"/>
      <c r="D2" s="18"/>
      <c r="E2" s="18"/>
      <c r="F2" s="18"/>
      <c r="G2" s="18"/>
      <c r="H2" s="18"/>
      <c r="I2" s="18"/>
      <c r="J2" s="18"/>
      <c r="K2" s="18"/>
      <c r="L2" s="18"/>
      <c r="M2" s="18"/>
      <c r="N2" s="18"/>
      <c r="O2" s="18"/>
      <c r="P2" s="18"/>
    </row>
    <row r="3" spans="1:16" x14ac:dyDescent="0.3">
      <c r="A3" s="18"/>
      <c r="B3" s="18"/>
      <c r="C3" s="18"/>
      <c r="D3" s="18"/>
      <c r="E3" s="18"/>
      <c r="F3" s="18"/>
      <c r="G3" s="18"/>
      <c r="H3" s="18"/>
      <c r="I3" s="18"/>
      <c r="J3" s="18"/>
      <c r="K3" s="18"/>
      <c r="L3" s="18"/>
      <c r="M3" s="18"/>
      <c r="N3" s="18"/>
      <c r="O3" s="18"/>
      <c r="P3" s="18"/>
    </row>
    <row r="4" spans="1:16" x14ac:dyDescent="0.3">
      <c r="A4" s="18"/>
      <c r="B4" s="18"/>
      <c r="C4" s="18"/>
      <c r="D4" s="18"/>
      <c r="E4" s="18"/>
      <c r="F4" s="18"/>
      <c r="G4" s="18"/>
      <c r="H4" s="18"/>
      <c r="I4" s="18"/>
      <c r="J4" s="18"/>
      <c r="K4" s="18"/>
      <c r="L4" s="18"/>
      <c r="M4" s="18"/>
      <c r="N4" s="18"/>
      <c r="O4" s="18"/>
      <c r="P4" s="18"/>
    </row>
    <row r="5" spans="1:16" x14ac:dyDescent="0.3">
      <c r="A5" s="18"/>
      <c r="B5" s="18"/>
      <c r="C5" s="18"/>
      <c r="D5" s="18"/>
      <c r="E5" s="18"/>
      <c r="F5" s="18"/>
      <c r="G5" s="18"/>
      <c r="H5" s="18"/>
      <c r="I5" s="18"/>
      <c r="J5" s="18"/>
      <c r="K5" s="18"/>
      <c r="L5" s="18"/>
      <c r="M5" s="18"/>
      <c r="N5" s="18"/>
      <c r="O5" s="18"/>
      <c r="P5" s="18"/>
    </row>
    <row r="6" spans="1:16" ht="21" x14ac:dyDescent="0.3">
      <c r="A6" s="17"/>
      <c r="B6" s="17"/>
      <c r="C6" s="17"/>
      <c r="D6" s="17"/>
      <c r="E6" s="17"/>
      <c r="F6" s="17"/>
      <c r="G6" s="17"/>
      <c r="H6" s="17"/>
      <c r="I6" s="17"/>
      <c r="J6" s="17"/>
      <c r="K6" s="17"/>
      <c r="L6" s="17"/>
      <c r="M6" s="17"/>
      <c r="N6" s="17"/>
      <c r="O6" s="17"/>
      <c r="P6" s="13" t="s">
        <v>1557</v>
      </c>
    </row>
    <row r="7" spans="1:16" ht="21" x14ac:dyDescent="0.3">
      <c r="A7" s="17"/>
      <c r="B7" s="17"/>
      <c r="C7" s="17"/>
      <c r="D7" s="17"/>
      <c r="E7" s="17"/>
      <c r="F7" s="17"/>
      <c r="G7" s="17"/>
      <c r="H7" s="17"/>
      <c r="I7" s="17"/>
      <c r="J7" s="17"/>
      <c r="K7" s="17"/>
      <c r="L7" s="17"/>
      <c r="M7" s="17"/>
      <c r="N7" s="17"/>
      <c r="O7" s="17"/>
      <c r="P7" s="14">
        <f>GETPIVOTDATA("Count of emp no",KPI!$A$3)</f>
        <v>1470</v>
      </c>
    </row>
    <row r="8" spans="1:16" x14ac:dyDescent="0.3">
      <c r="A8" s="17"/>
      <c r="B8" s="17"/>
      <c r="C8" s="17"/>
      <c r="D8" s="17"/>
      <c r="E8" s="17"/>
      <c r="F8" s="17"/>
      <c r="G8" s="17"/>
      <c r="H8" s="17"/>
      <c r="I8" s="17"/>
      <c r="J8" s="17"/>
      <c r="K8" s="17"/>
      <c r="L8" s="17"/>
      <c r="M8" s="17"/>
      <c r="N8" s="17"/>
      <c r="O8" s="17"/>
    </row>
    <row r="9" spans="1:16" x14ac:dyDescent="0.3">
      <c r="A9" s="17"/>
      <c r="B9" s="17"/>
      <c r="C9" s="17"/>
      <c r="D9" s="17"/>
      <c r="E9" s="17"/>
      <c r="F9" s="17"/>
      <c r="G9" s="17"/>
      <c r="H9" s="17"/>
      <c r="I9" s="17"/>
      <c r="J9" s="17"/>
      <c r="K9" s="17"/>
      <c r="L9" s="17"/>
      <c r="M9" s="17"/>
      <c r="N9" s="17"/>
      <c r="O9" s="17"/>
    </row>
    <row r="10" spans="1:16" x14ac:dyDescent="0.3">
      <c r="A10" s="17"/>
      <c r="B10" s="17"/>
      <c r="C10" s="17"/>
      <c r="D10" s="17"/>
      <c r="E10" s="17"/>
      <c r="F10" s="17"/>
      <c r="G10" s="17"/>
      <c r="H10" s="17"/>
      <c r="I10" s="17"/>
      <c r="J10" s="17"/>
      <c r="K10" s="17"/>
      <c r="L10" s="17"/>
      <c r="M10" s="17"/>
      <c r="N10" s="17"/>
      <c r="O10" s="17"/>
    </row>
    <row r="11" spans="1:16" x14ac:dyDescent="0.3">
      <c r="A11" s="17"/>
      <c r="B11" s="17"/>
      <c r="C11" s="17"/>
      <c r="D11" s="17"/>
      <c r="E11" s="17"/>
      <c r="F11" s="17"/>
      <c r="G11" s="17"/>
      <c r="H11" s="17"/>
      <c r="I11" s="17"/>
      <c r="J11" s="17"/>
      <c r="K11" s="17"/>
      <c r="L11" s="17"/>
      <c r="M11" s="17"/>
      <c r="N11" s="17"/>
      <c r="O11" s="17"/>
    </row>
    <row r="12" spans="1:16" ht="21" x14ac:dyDescent="0.3">
      <c r="A12" s="17"/>
      <c r="B12" s="17"/>
      <c r="C12" s="17"/>
      <c r="D12" s="17"/>
      <c r="E12" s="17"/>
      <c r="F12" s="17"/>
      <c r="G12" s="17"/>
      <c r="H12" s="17"/>
      <c r="I12" s="17"/>
      <c r="J12" s="17"/>
      <c r="K12" s="17"/>
      <c r="L12" s="17"/>
      <c r="M12" s="17"/>
      <c r="N12" s="17"/>
      <c r="O12" s="17"/>
      <c r="P12" s="13" t="s">
        <v>1558</v>
      </c>
    </row>
    <row r="13" spans="1:16" ht="21" x14ac:dyDescent="0.3">
      <c r="A13" s="17"/>
      <c r="B13" s="17"/>
      <c r="C13" s="17"/>
      <c r="D13" s="17"/>
      <c r="E13" s="17"/>
      <c r="F13" s="17"/>
      <c r="G13" s="17"/>
      <c r="H13" s="17"/>
      <c r="I13" s="17"/>
      <c r="J13" s="17"/>
      <c r="K13" s="17"/>
      <c r="L13" s="17"/>
      <c r="M13" s="17"/>
      <c r="N13" s="17"/>
      <c r="O13" s="17"/>
      <c r="P13" s="14">
        <f>GETPIVOTDATA("Sum of CF_attrition count",KPI!$A$3)</f>
        <v>237</v>
      </c>
    </row>
    <row r="14" spans="1:16" x14ac:dyDescent="0.3">
      <c r="A14" s="17"/>
      <c r="B14" s="17"/>
      <c r="C14" s="17"/>
      <c r="D14" s="17"/>
      <c r="E14" s="17"/>
      <c r="F14" s="17"/>
      <c r="G14" s="17"/>
      <c r="H14" s="17"/>
      <c r="I14" s="17"/>
      <c r="J14" s="17"/>
      <c r="K14" s="17"/>
      <c r="L14" s="17"/>
      <c r="M14" s="17"/>
      <c r="N14" s="17"/>
      <c r="O14" s="17"/>
    </row>
    <row r="15" spans="1:16" x14ac:dyDescent="0.3">
      <c r="A15" s="17"/>
      <c r="B15" s="17"/>
      <c r="C15" s="17"/>
      <c r="D15" s="17"/>
      <c r="E15" s="17"/>
      <c r="F15" s="17"/>
      <c r="G15" s="17"/>
      <c r="H15" s="17"/>
      <c r="I15" s="17"/>
      <c r="J15" s="17"/>
      <c r="K15" s="17"/>
      <c r="L15" s="17"/>
      <c r="M15" s="17"/>
      <c r="N15" s="17"/>
      <c r="O15" s="17"/>
    </row>
    <row r="16" spans="1:16" x14ac:dyDescent="0.3">
      <c r="A16" s="17"/>
      <c r="B16" s="17"/>
      <c r="C16" s="17"/>
      <c r="D16" s="17"/>
      <c r="E16" s="17"/>
      <c r="F16" s="17"/>
      <c r="G16" s="17"/>
      <c r="H16" s="17"/>
      <c r="I16" s="17"/>
      <c r="J16" s="17"/>
      <c r="K16" s="17"/>
      <c r="L16" s="17"/>
      <c r="M16" s="17"/>
      <c r="N16" s="17"/>
      <c r="O16" s="17"/>
    </row>
    <row r="17" spans="1:16" x14ac:dyDescent="0.3">
      <c r="A17" s="17"/>
      <c r="B17" s="17"/>
      <c r="C17" s="17"/>
      <c r="D17" s="17"/>
      <c r="E17" s="17"/>
      <c r="F17" s="17"/>
      <c r="G17" s="17"/>
      <c r="H17" s="17"/>
      <c r="I17" s="17"/>
      <c r="J17" s="17"/>
      <c r="K17" s="17"/>
      <c r="L17" s="17"/>
      <c r="M17" s="17"/>
      <c r="N17" s="17"/>
      <c r="O17" s="17"/>
    </row>
    <row r="18" spans="1:16" x14ac:dyDescent="0.3">
      <c r="A18" s="17"/>
      <c r="B18" s="17"/>
      <c r="C18" s="17"/>
      <c r="D18" s="17"/>
      <c r="E18" s="17"/>
      <c r="F18" s="17"/>
      <c r="G18" s="17"/>
      <c r="H18" s="17"/>
      <c r="I18" s="17"/>
      <c r="J18" s="17"/>
      <c r="K18" s="17"/>
      <c r="L18" s="17"/>
      <c r="M18" s="17"/>
      <c r="N18" s="17"/>
      <c r="O18" s="17"/>
    </row>
    <row r="19" spans="1:16" x14ac:dyDescent="0.3">
      <c r="A19" s="17"/>
      <c r="B19" s="17"/>
      <c r="C19" s="17"/>
      <c r="D19" s="17"/>
      <c r="E19" s="17"/>
      <c r="F19" s="17"/>
      <c r="G19" s="17"/>
      <c r="H19" s="17"/>
      <c r="I19" s="17"/>
      <c r="J19" s="17"/>
      <c r="K19" s="17"/>
      <c r="L19" s="17"/>
      <c r="M19" s="17"/>
      <c r="N19" s="17"/>
      <c r="O19" s="17"/>
    </row>
    <row r="20" spans="1:16" ht="21" x14ac:dyDescent="0.3">
      <c r="A20" s="17"/>
      <c r="B20" s="17"/>
      <c r="C20" s="17"/>
      <c r="D20" s="17"/>
      <c r="E20" s="17"/>
      <c r="F20" s="17"/>
      <c r="G20" s="17"/>
      <c r="H20" s="17"/>
      <c r="I20" s="17"/>
      <c r="J20" s="17"/>
      <c r="K20" s="17"/>
      <c r="L20" s="17"/>
      <c r="M20" s="17"/>
      <c r="N20" s="17"/>
      <c r="O20" s="17"/>
      <c r="P20" s="13" t="s">
        <v>1559</v>
      </c>
    </row>
    <row r="21" spans="1:16" ht="21" x14ac:dyDescent="0.3">
      <c r="A21" s="17"/>
      <c r="B21" s="17"/>
      <c r="C21" s="17"/>
      <c r="D21" s="17"/>
      <c r="E21" s="17"/>
      <c r="F21" s="17"/>
      <c r="G21" s="17"/>
      <c r="H21" s="17"/>
      <c r="I21" s="17"/>
      <c r="J21" s="17"/>
      <c r="K21" s="17"/>
      <c r="L21" s="17"/>
      <c r="M21" s="17"/>
      <c r="N21" s="17"/>
      <c r="O21" s="17"/>
      <c r="P21" s="15">
        <f>GETPIVOTDATA("Average of Age",KPI!$A$3)</f>
        <v>36.923809523809524</v>
      </c>
    </row>
    <row r="22" spans="1:16" x14ac:dyDescent="0.3">
      <c r="A22" s="17"/>
      <c r="B22" s="17"/>
      <c r="C22" s="17"/>
      <c r="D22" s="17"/>
      <c r="E22" s="17"/>
      <c r="F22" s="17"/>
      <c r="G22" s="17"/>
      <c r="H22" s="17"/>
      <c r="I22" s="17"/>
      <c r="J22" s="17"/>
      <c r="K22" s="17"/>
      <c r="L22" s="17"/>
      <c r="M22" s="17"/>
      <c r="N22" s="17"/>
      <c r="O22" s="17"/>
    </row>
    <row r="23" spans="1:16" x14ac:dyDescent="0.3">
      <c r="A23" s="17"/>
      <c r="B23" s="17"/>
      <c r="C23" s="17"/>
      <c r="D23" s="17"/>
      <c r="E23" s="17"/>
      <c r="F23" s="17"/>
      <c r="G23" s="17"/>
      <c r="H23" s="17"/>
      <c r="I23" s="17"/>
      <c r="J23" s="17"/>
      <c r="K23" s="17"/>
      <c r="L23" s="17"/>
      <c r="M23" s="17"/>
      <c r="N23" s="17"/>
      <c r="O23" s="17"/>
    </row>
    <row r="24" spans="1:16" x14ac:dyDescent="0.3">
      <c r="A24" s="17"/>
      <c r="B24" s="17"/>
      <c r="C24" s="17"/>
      <c r="D24" s="17"/>
      <c r="E24" s="17"/>
      <c r="F24" s="17"/>
      <c r="G24" s="17"/>
      <c r="H24" s="17"/>
      <c r="I24" s="17"/>
      <c r="J24" s="17"/>
      <c r="K24" s="17"/>
      <c r="L24" s="17"/>
      <c r="M24" s="17"/>
      <c r="N24" s="17"/>
      <c r="O24" s="17"/>
    </row>
    <row r="25" spans="1:16" x14ac:dyDescent="0.3">
      <c r="A25" s="17"/>
      <c r="B25" s="17"/>
      <c r="C25" s="17"/>
      <c r="D25" s="17"/>
      <c r="E25" s="17"/>
      <c r="F25" s="17"/>
      <c r="G25" s="17"/>
      <c r="H25" s="17"/>
      <c r="I25" s="17"/>
      <c r="J25" s="17"/>
      <c r="K25" s="17"/>
      <c r="L25" s="17"/>
      <c r="M25" s="17"/>
      <c r="N25" s="17"/>
      <c r="O25" s="17"/>
    </row>
    <row r="26" spans="1:16" x14ac:dyDescent="0.3">
      <c r="A26" s="17"/>
      <c r="B26" s="17"/>
      <c r="C26" s="17"/>
      <c r="D26" s="17"/>
      <c r="E26" s="17"/>
      <c r="F26" s="17"/>
      <c r="G26" s="17"/>
      <c r="H26" s="17"/>
      <c r="I26" s="17"/>
      <c r="J26" s="17"/>
      <c r="K26" s="17"/>
      <c r="L26" s="17"/>
      <c r="M26" s="17"/>
      <c r="N26" s="17"/>
      <c r="O26" s="17"/>
    </row>
    <row r="27" spans="1:16" ht="21" x14ac:dyDescent="0.3">
      <c r="A27" s="17"/>
      <c r="B27" s="17"/>
      <c r="C27" s="17"/>
      <c r="D27" s="17"/>
      <c r="E27" s="17"/>
      <c r="F27" s="17"/>
      <c r="G27" s="17"/>
      <c r="H27" s="17"/>
      <c r="I27" s="17"/>
      <c r="J27" s="17"/>
      <c r="K27" s="17"/>
      <c r="L27" s="17"/>
      <c r="M27" s="17"/>
      <c r="N27" s="17"/>
      <c r="O27" s="17"/>
      <c r="P27" s="13" t="s">
        <v>1560</v>
      </c>
    </row>
    <row r="28" spans="1:16" ht="21" x14ac:dyDescent="0.3">
      <c r="A28" s="17"/>
      <c r="B28" s="17"/>
      <c r="C28" s="17"/>
      <c r="D28" s="17"/>
      <c r="E28" s="17"/>
      <c r="F28" s="17"/>
      <c r="G28" s="17"/>
      <c r="H28" s="17"/>
      <c r="I28" s="17"/>
      <c r="J28" s="17"/>
      <c r="K28" s="17"/>
      <c r="L28" s="17"/>
      <c r="M28" s="17"/>
      <c r="N28" s="17"/>
      <c r="O28" s="17"/>
      <c r="P28" s="14">
        <f>P7-P13</f>
        <v>1233</v>
      </c>
    </row>
    <row r="29" spans="1:16" x14ac:dyDescent="0.3">
      <c r="A29" s="17"/>
      <c r="B29" s="17"/>
      <c r="C29" s="17"/>
      <c r="D29" s="17"/>
      <c r="E29" s="17"/>
      <c r="F29" s="17"/>
      <c r="G29" s="17"/>
      <c r="H29" s="17"/>
      <c r="I29" s="17"/>
      <c r="J29" s="17"/>
      <c r="K29" s="17"/>
      <c r="L29" s="17"/>
      <c r="M29" s="17"/>
      <c r="N29" s="17"/>
      <c r="O29" s="17"/>
    </row>
    <row r="30" spans="1:16" x14ac:dyDescent="0.3">
      <c r="A30" s="17"/>
      <c r="B30" s="17"/>
      <c r="C30" s="17"/>
      <c r="D30" s="17"/>
      <c r="E30" s="17"/>
      <c r="F30" s="17"/>
      <c r="G30" s="17"/>
      <c r="H30" s="17"/>
      <c r="I30" s="17"/>
      <c r="J30" s="17"/>
      <c r="K30" s="17"/>
      <c r="L30" s="17"/>
      <c r="M30" s="17"/>
      <c r="N30" s="17"/>
      <c r="O30" s="17"/>
    </row>
    <row r="31" spans="1:16" x14ac:dyDescent="0.3">
      <c r="A31" s="17"/>
      <c r="B31" s="17"/>
      <c r="C31" s="17"/>
      <c r="D31" s="17"/>
      <c r="E31" s="17"/>
      <c r="F31" s="17"/>
      <c r="G31" s="17"/>
      <c r="H31" s="17"/>
      <c r="I31" s="17"/>
      <c r="J31" s="17"/>
      <c r="K31" s="17"/>
      <c r="L31" s="17"/>
      <c r="M31" s="17"/>
      <c r="N31" s="17"/>
      <c r="O31" s="17"/>
    </row>
    <row r="32" spans="1:16" x14ac:dyDescent="0.3">
      <c r="A32" s="17"/>
      <c r="B32" s="17"/>
      <c r="C32" s="17"/>
      <c r="D32" s="17"/>
      <c r="E32" s="17"/>
      <c r="F32" s="17"/>
      <c r="G32" s="17"/>
      <c r="H32" s="17"/>
      <c r="I32" s="17"/>
      <c r="J32" s="17"/>
      <c r="K32" s="17"/>
      <c r="L32" s="17"/>
      <c r="M32" s="17"/>
      <c r="N32" s="17"/>
      <c r="O32" s="17"/>
    </row>
    <row r="33" spans="1:16" x14ac:dyDescent="0.3">
      <c r="A33" s="17"/>
      <c r="B33" s="17"/>
      <c r="C33" s="17"/>
      <c r="D33" s="17"/>
      <c r="E33" s="17"/>
      <c r="F33" s="17"/>
      <c r="G33" s="17"/>
      <c r="H33" s="17"/>
      <c r="I33" s="17"/>
      <c r="J33" s="17"/>
      <c r="K33" s="17"/>
      <c r="L33" s="17"/>
      <c r="M33" s="17"/>
      <c r="N33" s="17"/>
      <c r="O33" s="17"/>
    </row>
    <row r="34" spans="1:16" x14ac:dyDescent="0.3">
      <c r="A34" s="17"/>
      <c r="B34" s="17"/>
      <c r="C34" s="17"/>
      <c r="D34" s="17"/>
      <c r="E34" s="17"/>
      <c r="F34" s="17"/>
      <c r="G34" s="17"/>
      <c r="H34" s="17"/>
      <c r="I34" s="17"/>
      <c r="J34" s="17"/>
      <c r="K34" s="17"/>
      <c r="L34" s="17"/>
      <c r="M34" s="17"/>
      <c r="N34" s="17"/>
      <c r="O34" s="17"/>
    </row>
    <row r="35" spans="1:16" ht="21" x14ac:dyDescent="0.3">
      <c r="A35" s="17"/>
      <c r="B35" s="17"/>
      <c r="C35" s="17"/>
      <c r="D35" s="17"/>
      <c r="E35" s="17"/>
      <c r="F35" s="17"/>
      <c r="G35" s="17"/>
      <c r="H35" s="17"/>
      <c r="I35" s="17"/>
      <c r="J35" s="17"/>
      <c r="K35" s="17"/>
      <c r="L35" s="17"/>
      <c r="M35" s="17"/>
      <c r="N35" s="17"/>
      <c r="O35" s="17"/>
      <c r="P35" s="13" t="s">
        <v>1561</v>
      </c>
    </row>
    <row r="36" spans="1:16" ht="21" x14ac:dyDescent="0.3">
      <c r="A36" s="17"/>
      <c r="B36" s="17"/>
      <c r="C36" s="17"/>
      <c r="D36" s="17"/>
      <c r="E36" s="17"/>
      <c r="F36" s="17"/>
      <c r="G36" s="17"/>
      <c r="H36" s="17"/>
      <c r="I36" s="17"/>
      <c r="J36" s="17"/>
      <c r="K36" s="17"/>
      <c r="L36" s="17"/>
      <c r="M36" s="17"/>
      <c r="N36" s="17"/>
      <c r="O36" s="17"/>
      <c r="P36" s="16">
        <f>P13/P7</f>
        <v>0.16122448979591836</v>
      </c>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vt:lpstr>
      <vt:lpstr>KPI</vt:lpstr>
      <vt:lpstr>Gender Split</vt:lpstr>
      <vt:lpstr>Qualification</vt:lpstr>
      <vt:lpstr>Job Role</vt:lpstr>
      <vt:lpstr>Department</vt:lpstr>
      <vt:lpstr>Age</vt:lpstr>
      <vt:lpstr>Marriage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Neil Gala</cp:lastModifiedBy>
  <dcterms:created xsi:type="dcterms:W3CDTF">2024-10-15T17:46:40Z</dcterms:created>
  <dcterms:modified xsi:type="dcterms:W3CDTF">2026-09-11T06:18:21Z</dcterms:modified>
</cp:coreProperties>
</file>